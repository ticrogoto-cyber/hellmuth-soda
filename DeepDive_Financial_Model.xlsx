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 Year 1 (Monthly)" sheetId="3" state="visible" r:id="rId3"/>
    <sheet xmlns:r="http://schemas.openxmlformats.org/officeDocument/2006/relationships" name="P&amp;L Years 2-3 (Quarterly)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Unit Economics" sheetId="6" state="visible" r:id="rId6"/>
    <sheet xmlns:r="http://schemas.openxmlformats.org/officeDocument/2006/relationships" name="Base Case" sheetId="7" state="visible" r:id="rId7"/>
    <sheet xmlns:r="http://schemas.openxmlformats.org/officeDocument/2006/relationships" name="Bull Case" sheetId="8" state="visible" r:id="rId8"/>
    <sheet xmlns:r="http://schemas.openxmlformats.org/officeDocument/2006/relationships" name="Bear Case" sheetId="9" state="visible" r:id="rId9"/>
    <sheet xmlns:r="http://schemas.openxmlformats.org/officeDocument/2006/relationships" name="Sensitivity Analysis" sheetId="10" state="visible" r:id="rId10"/>
    <sheet xmlns:r="http://schemas.openxmlformats.org/officeDocument/2006/relationships" name="Break-Even Analysis" sheetId="11" state="visible" r:id="rId11"/>
    <sheet xmlns:r="http://schemas.openxmlformats.org/officeDocument/2006/relationships" name="Use of Fun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€0.00"/>
    <numFmt numFmtId="165" formatCode="0.0%"/>
    <numFmt numFmtId="166" formatCode="€0.0000"/>
    <numFmt numFmtId="167" formatCode="€#,##0"/>
    <numFmt numFmtId="168" formatCode="#,##0.0"/>
    <numFmt numFmtId="169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sz val="10"/>
    </font>
    <font>
      <name val="Calibri"/>
      <b val="1"/>
      <color rgb="00FFFFFF"/>
      <sz val="18"/>
    </font>
  </fonts>
  <fills count="10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0" fillId="0" borderId="1" pivotButton="0" quotePrefix="0" xfId="0"/>
    <xf numFmtId="3" fontId="4" fillId="0" borderId="1" pivotButton="0" quotePrefix="0" xfId="0"/>
    <xf numFmtId="167" fontId="0" fillId="0" borderId="1" pivotButton="0" quotePrefix="0" xfId="0"/>
    <xf numFmtId="167" fontId="4" fillId="0" borderId="1" pivotButton="0" quotePrefix="0" xfId="0"/>
    <xf numFmtId="165" fontId="0" fillId="0" borderId="1" pivotButton="0" quotePrefix="0" xfId="0"/>
    <xf numFmtId="165" fontId="4" fillId="0" borderId="1" pivotButton="0" quotePrefix="0" xfId="0"/>
    <xf numFmtId="167" fontId="0" fillId="6" borderId="1" pivotButton="0" quotePrefix="0" xfId="0"/>
    <xf numFmtId="167" fontId="0" fillId="8" borderId="1" pivotButton="0" quotePrefix="0" xfId="0"/>
    <xf numFmtId="167" fontId="0" fillId="9" borderId="1" pivotButton="0" quotePrefix="0" xfId="0"/>
    <xf numFmtId="164" fontId="5" fillId="0" borderId="1" pivotButton="0" quotePrefix="0" xfId="0"/>
    <xf numFmtId="165" fontId="5" fillId="0" borderId="1" pivotButton="0" quotePrefix="0" xfId="0"/>
    <xf numFmtId="2" fontId="4" fillId="0" borderId="1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0" fillId="0" borderId="1" pivotButton="0" quotePrefix="0" xfId="0"/>
    <xf numFmtId="164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164" fontId="4" fillId="0" borderId="1" pivotButton="0" quotePrefix="0" xfId="0"/>
    <xf numFmtId="166" fontId="0" fillId="6" borderId="1" applyAlignment="1" pivotButton="0" quotePrefix="0" xfId="0">
      <alignment horizontal="right" vertical="center"/>
    </xf>
    <xf numFmtId="166" fontId="4" fillId="7" borderId="1" pivotButton="0" quotePrefix="0" xfId="0"/>
    <xf numFmtId="3" fontId="0" fillId="6" borderId="1" applyAlignment="1" pivotButton="0" quotePrefix="0" xfId="0">
      <alignment horizontal="right" vertical="center"/>
    </xf>
    <xf numFmtId="165" fontId="4" fillId="7" borderId="1" pivotButton="0" quotePrefix="0" xfId="0"/>
    <xf numFmtId="167" fontId="0" fillId="6" borderId="1" applyAlignment="1" pivotButton="0" quotePrefix="0" xfId="0">
      <alignment horizontal="right" vertical="center"/>
    </xf>
    <xf numFmtId="168" fontId="0" fillId="6" borderId="1" applyAlignment="1" pivotButton="0" quotePrefix="0" xfId="0">
      <alignment horizontal="right" vertical="center"/>
    </xf>
    <xf numFmtId="0" fontId="4" fillId="5" borderId="0" pivotButton="0" quotePrefix="0" xfId="0"/>
    <xf numFmtId="0" fontId="5" fillId="0" borderId="0" pivotButton="0" quotePrefix="0" xfId="0"/>
    <xf numFmtId="166" fontId="0" fillId="0" borderId="1" pivotButton="0" quotePrefix="0" xfId="0"/>
    <xf numFmtId="166" fontId="4" fillId="0" borderId="1" pivotButton="0" quotePrefix="0" xfId="0"/>
    <xf numFmtId="0" fontId="3" fillId="7" borderId="0" pivotButton="0" quotePrefix="0" xfId="0"/>
    <xf numFmtId="167" fontId="4" fillId="7" borderId="1" pivotButton="0" quotePrefix="0" xfId="0"/>
    <xf numFmtId="167" fontId="0" fillId="7" borderId="1" pivotButton="0" quotePrefix="0" xfId="0"/>
    <xf numFmtId="0" fontId="4" fillId="5" borderId="0" applyAlignment="1" pivotButton="0" quotePrefix="0" xfId="0">
      <alignment horizontal="center" vertical="center" wrapText="1"/>
    </xf>
    <xf numFmtId="0" fontId="4" fillId="4" borderId="0" pivotButton="0" quotePrefix="0" xfId="0"/>
    <xf numFmtId="167" fontId="4" fillId="3" borderId="1" pivotButton="0" quotePrefix="0" xfId="0"/>
    <xf numFmtId="0" fontId="4" fillId="7" borderId="0" pivotButton="0" quotePrefix="0" xfId="0"/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164" fontId="0" fillId="0" borderId="0" pivotButton="0" quotePrefix="0" xfId="0"/>
    <xf numFmtId="165" fontId="0" fillId="8" borderId="1" pivotButton="0" quotePrefix="0" xfId="0"/>
    <xf numFmtId="165" fontId="0" fillId="9" borderId="1" pivotButton="0" quotePrefix="0" xfId="0"/>
    <xf numFmtId="165" fontId="0" fillId="0" borderId="0" pivotButton="0" quotePrefix="0" xfId="0"/>
    <xf numFmtId="165" fontId="4" fillId="5" borderId="0" pivotButton="0" quotePrefix="0" xfId="0"/>
    <xf numFmtId="164" fontId="4" fillId="0" borderId="0" pivotButton="0" quotePrefix="0" xfId="0"/>
    <xf numFmtId="167" fontId="0" fillId="0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9" fontId="0" fillId="0" borderId="1" applyAlignment="1" pivotButton="0" quotePrefix="0" xfId="0">
      <alignment horizontal="right" vertical="center"/>
    </xf>
    <xf numFmtId="169" fontId="4" fillId="7" borderId="1" applyAlignment="1" pivotButton="0" quotePrefix="0" xfId="0">
      <alignment horizontal="right" vertical="center"/>
    </xf>
    <xf numFmtId="0" fontId="4" fillId="5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DEEP DIVE BOTANICALS - FINANCIAL DASHBOARD</t>
        </is>
      </c>
    </row>
    <row r="2"/>
    <row r="4">
      <c r="B4" s="2" t="inlineStr">
        <is>
          <t>KEY FINANCIAL METRICS (3-YEAR SUMMARY)</t>
        </is>
      </c>
    </row>
    <row r="5">
      <c r="B5" s="3" t="inlineStr">
        <is>
          <t>Metric</t>
        </is>
      </c>
      <c r="C5" s="3" t="inlineStr">
        <is>
          <t>Year 1</t>
        </is>
      </c>
      <c r="D5" s="3" t="inlineStr">
        <is>
          <t>Year 2</t>
        </is>
      </c>
      <c r="E5" s="3" t="inlineStr">
        <is>
          <t>Year 3</t>
        </is>
      </c>
      <c r="F5" s="3" t="inlineStr">
        <is>
          <t>3-Yr Total</t>
        </is>
      </c>
    </row>
    <row r="6">
      <c r="B6" s="4" t="inlineStr">
        <is>
          <t>Volume (cans)</t>
        </is>
      </c>
      <c r="C6" s="5">
        <f>'P&amp;L Year 1 (Monthly)'!N5</f>
        <v/>
      </c>
      <c r="D6" s="5">
        <f>'P&amp;L Years 2-3 (Quarterly)'!F5</f>
        <v/>
      </c>
      <c r="E6" s="5">
        <f>'P&amp;L Years 2-3 (Quarterly)'!K5</f>
        <v/>
      </c>
      <c r="F6" s="6">
        <f>SUM(C6:E6)</f>
        <v/>
      </c>
    </row>
    <row r="7">
      <c r="B7" s="4" t="inlineStr">
        <is>
          <t>Revenue (€)</t>
        </is>
      </c>
      <c r="C7" s="7">
        <f>'P&amp;L Year 1 (Monthly)'!N12</f>
        <v/>
      </c>
      <c r="D7" s="7">
        <f>'P&amp;L Years 2-3 (Quarterly)'!F7</f>
        <v/>
      </c>
      <c r="E7" s="7">
        <f>'P&amp;L Years 2-3 (Quarterly)'!K7</f>
        <v/>
      </c>
      <c r="F7" s="8">
        <f>SUM(C7:E7)</f>
        <v/>
      </c>
    </row>
    <row r="8">
      <c r="B8" s="4" t="inlineStr">
        <is>
          <t>Gross Margin %</t>
        </is>
      </c>
      <c r="C8" s="9">
        <f>'P&amp;L Year 1 (Monthly)'!N21</f>
        <v/>
      </c>
      <c r="D8" s="9">
        <f>'P&amp;L Years 2-3 (Quarterly)'!F13</f>
        <v/>
      </c>
      <c r="E8" s="9">
        <f>'P&amp;L Years 2-3 (Quarterly)'!K13</f>
        <v/>
      </c>
      <c r="F8" s="10">
        <f>AVERAGE(C8:E8)</f>
        <v/>
      </c>
    </row>
    <row r="9">
      <c r="B9" s="4" t="inlineStr">
        <is>
          <t>EBITDA (€)</t>
        </is>
      </c>
      <c r="C9" s="7">
        <f>'P&amp;L Year 1 (Monthly)'!N32</f>
        <v/>
      </c>
      <c r="D9" s="7">
        <f>'P&amp;L Years 2-3 (Quarterly)'!F22</f>
        <v/>
      </c>
      <c r="E9" s="7">
        <f>'P&amp;L Years 2-3 (Quarterly)'!K22</f>
        <v/>
      </c>
      <c r="F9" s="8">
        <f>SUM(C9:E9)</f>
        <v/>
      </c>
    </row>
    <row r="10">
      <c r="B10" s="4" t="inlineStr">
        <is>
          <t>EBITDA Margin %</t>
        </is>
      </c>
      <c r="C10" s="9">
        <f>'P&amp;L Year 1 (Monthly)'!N33</f>
        <v/>
      </c>
      <c r="D10" s="9">
        <f>'P&amp;L Years 2-3 (Quarterly)'!F23</f>
        <v/>
      </c>
      <c r="E10" s="9">
        <f>'P&amp;L Years 2-3 (Quarterly)'!K23</f>
        <v/>
      </c>
      <c r="F10" s="10">
        <f>AVERAGE(C10:E10)</f>
        <v/>
      </c>
    </row>
    <row r="11">
      <c r="B11" s="4" t="inlineStr">
        <is>
          <t>Net Income (€)</t>
        </is>
      </c>
      <c r="C11" s="7">
        <f>'P&amp;L Year 1 (Monthly)'!N40</f>
        <v/>
      </c>
      <c r="D11" s="7">
        <f>'P&amp;L Years 2-3 (Quarterly)'!F30</f>
        <v/>
      </c>
      <c r="E11" s="7">
        <f>'P&amp;L Years 2-3 (Quarterly)'!K30</f>
        <v/>
      </c>
      <c r="F11" s="8">
        <f>SUM(C11:E11)</f>
        <v/>
      </c>
    </row>
    <row r="12">
      <c r="B12" s="4" t="inlineStr">
        <is>
          <t>Cash Position (€)</t>
        </is>
      </c>
      <c r="C12" s="7">
        <f>'Cash Flow Statement'!N25</f>
        <v/>
      </c>
      <c r="D12" s="7">
        <f>'Base Case'!C20</f>
        <v/>
      </c>
      <c r="E12" s="7">
        <f>'Base Case'!D20</f>
        <v/>
      </c>
      <c r="F12" s="8">
        <f>E12</f>
        <v/>
      </c>
    </row>
    <row r="15">
      <c r="B15" s="2" t="inlineStr">
        <is>
          <t>SCENARIO COMPARISON (3-Year Cumulative)</t>
        </is>
      </c>
    </row>
    <row r="16">
      <c r="B16" s="3" t="inlineStr">
        <is>
          <t>Metric</t>
        </is>
      </c>
      <c r="C16" s="3" t="inlineStr">
        <is>
          <t>Base Case</t>
        </is>
      </c>
      <c r="D16" s="3" t="inlineStr">
        <is>
          <t>Bull Case</t>
        </is>
      </c>
      <c r="E16" s="3" t="inlineStr">
        <is>
          <t>Bear Case</t>
        </is>
      </c>
    </row>
    <row r="17">
      <c r="B17" s="4" t="inlineStr">
        <is>
          <t>Total Revenue</t>
        </is>
      </c>
      <c r="C17" s="11">
        <f>'Base Case'!E10</f>
        <v/>
      </c>
      <c r="D17" s="12">
        <f>'Bull Case'!E10</f>
        <v/>
      </c>
      <c r="E17" s="13">
        <f>'Bear Case'!E10</f>
        <v/>
      </c>
    </row>
    <row r="18">
      <c r="B18" s="4" t="inlineStr">
        <is>
          <t>Total EBITDA</t>
        </is>
      </c>
      <c r="C18" s="11">
        <f>'Base Case'!E17</f>
        <v/>
      </c>
      <c r="D18" s="12">
        <f>'Bull Case'!E17</f>
        <v/>
      </c>
      <c r="E18" s="13">
        <f>'Bear Case'!E17</f>
        <v/>
      </c>
    </row>
    <row r="19">
      <c r="B19" s="4" t="inlineStr">
        <is>
          <t>Final Cash Position</t>
        </is>
      </c>
      <c r="C19" s="11">
        <f>'Base Case'!E20</f>
        <v/>
      </c>
      <c r="D19" s="12">
        <f>'Bull Case'!E20</f>
        <v/>
      </c>
      <c r="E19" s="13">
        <f>'Bear Case'!E20</f>
        <v/>
      </c>
    </row>
    <row r="22">
      <c r="B22" s="2" t="inlineStr">
        <is>
          <t>UNIT ECONOMICS</t>
        </is>
      </c>
    </row>
    <row r="23">
      <c r="B23" s="3" t="inlineStr">
        <is>
          <t>Metric</t>
        </is>
      </c>
      <c r="C23" s="3" t="inlineStr">
        <is>
          <t>Value</t>
        </is>
      </c>
    </row>
    <row r="24">
      <c r="B24" s="4" t="inlineStr">
        <is>
          <t>Ex-Factory Price</t>
        </is>
      </c>
      <c r="C24" s="14">
        <f>'Unit Economics'!B5</f>
        <v/>
      </c>
    </row>
    <row r="25">
      <c r="B25" s="4" t="inlineStr">
        <is>
          <t>COGS per can</t>
        </is>
      </c>
      <c r="C25" s="14">
        <f>'Unit Economics'!B6</f>
        <v/>
      </c>
    </row>
    <row r="26">
      <c r="B26" s="4" t="inlineStr">
        <is>
          <t>Gross Profit per can</t>
        </is>
      </c>
      <c r="C26" s="14">
        <f>'Unit Economics'!B7</f>
        <v/>
      </c>
    </row>
    <row r="27">
      <c r="B27" s="4" t="inlineStr">
        <is>
          <t>Gross Margin %</t>
        </is>
      </c>
      <c r="C27" s="15">
        <f>'Unit Economics'!B8</f>
        <v/>
      </c>
    </row>
    <row r="28">
      <c r="B28" s="4" t="inlineStr">
        <is>
          <t>Contribution Margin I</t>
        </is>
      </c>
      <c r="C28" s="14">
        <f>'Unit Economics'!B11</f>
        <v/>
      </c>
    </row>
    <row r="29">
      <c r="B29" s="4" t="inlineStr">
        <is>
          <t>CM I %</t>
        </is>
      </c>
      <c r="C29" s="15">
        <f>'Unit Economics'!B12</f>
        <v/>
      </c>
    </row>
    <row r="30">
      <c r="B30" s="4" t="inlineStr">
        <is>
          <t>LTV / CAC Ratio</t>
        </is>
      </c>
      <c r="C30" s="16">
        <f>'Unit Economics'!B27</f>
        <v/>
      </c>
    </row>
    <row r="31">
      <c r="B31" s="4" t="inlineStr">
        <is>
          <t>Break-Even Volume</t>
        </is>
      </c>
      <c r="C31" s="6">
        <f>'Break-Even Analysis'!B27</f>
        <v/>
      </c>
    </row>
    <row r="34">
      <c r="B34" s="17" t="inlineStr">
        <is>
          <t>NOTE: Excel charts can be created manually using the chart tools. Recommended charts:</t>
        </is>
      </c>
    </row>
    <row r="35">
      <c r="B35" s="18" t="inlineStr">
        <is>
          <t>• Revenue Growth: Line chart showing monthly/quarterly revenue across 3 years</t>
        </is>
      </c>
    </row>
    <row r="36">
      <c r="B36" s="18" t="inlineStr">
        <is>
          <t>• Margin Evolution: Line chart with Gross Margin % and EBITDA Margin % over time</t>
        </is>
      </c>
    </row>
    <row r="37">
      <c r="B37" s="18" t="inlineStr">
        <is>
          <t>• Cash Runway: Line chart showing cumulative cash position</t>
        </is>
      </c>
    </row>
    <row r="38">
      <c r="B38" s="18" t="inlineStr">
        <is>
          <t>• Channel Mix: Pie chart showing revenue breakdown by channel</t>
        </is>
      </c>
    </row>
    <row r="39">
      <c r="B39" s="18" t="inlineStr">
        <is>
          <t>• Scenario Comparison: Clustered bar chart comparing Base/Bull/Bear scenarios</t>
        </is>
      </c>
    </row>
  </sheetData>
  <mergeCells count="10">
    <mergeCell ref="B36:H36"/>
    <mergeCell ref="B35:H35"/>
    <mergeCell ref="B4:H4"/>
    <mergeCell ref="B39:H39"/>
    <mergeCell ref="B38:H38"/>
    <mergeCell ref="B15:H15"/>
    <mergeCell ref="A1:H2"/>
    <mergeCell ref="B34:H34"/>
    <mergeCell ref="B37:H37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40" customWidth="1" min="4" max="4"/>
  </cols>
  <sheetData>
    <row r="1">
      <c r="A1" s="19" t="inlineStr">
        <is>
          <t>DEEP DIVE BOTANICALS - FINANCIAL ASSUMPTIONS</t>
        </is>
      </c>
    </row>
    <row r="3">
      <c r="A3" s="20" t="inlineStr">
        <is>
          <t>Yellow cells are editable inputs. All other tabs reference these assumptions.</t>
        </is>
      </c>
    </row>
    <row r="5">
      <c r="A5" s="21" t="inlineStr">
        <is>
          <t>1. PRICING ASSUMPTIONS</t>
        </is>
      </c>
    </row>
    <row r="6">
      <c r="A6" s="3" t="inlineStr">
        <is>
          <t>Parameter</t>
        </is>
      </c>
      <c r="B6" s="3" t="inlineStr">
        <is>
          <t>Value</t>
        </is>
      </c>
      <c r="C6" s="3" t="inlineStr">
        <is>
          <t>Unit</t>
        </is>
      </c>
      <c r="D6" s="3" t="inlineStr">
        <is>
          <t>Notes</t>
        </is>
      </c>
    </row>
    <row r="7">
      <c r="A7" s="22" t="inlineStr">
        <is>
          <t>UVP (incl. MwSt)</t>
        </is>
      </c>
      <c r="B7" s="23" t="n">
        <v>1.74</v>
      </c>
      <c r="C7" s="22" t="inlineStr">
        <is>
          <t>€</t>
        </is>
      </c>
      <c r="D7" s="22" t="inlineStr">
        <is>
          <t>Consumer price (mid-point €1.69-1.79)</t>
        </is>
      </c>
    </row>
    <row r="8">
      <c r="A8" s="22" t="inlineStr">
        <is>
          <t>MwSt Rate</t>
        </is>
      </c>
      <c r="B8" s="23" t="n">
        <v>0.19</v>
      </c>
      <c r="C8" s="22" t="inlineStr"/>
      <c r="D8" s="22" t="inlineStr">
        <is>
          <t>19% German VAT</t>
        </is>
      </c>
    </row>
    <row r="9">
      <c r="A9" s="22" t="inlineStr">
        <is>
          <t>Pfand</t>
        </is>
      </c>
      <c r="B9" s="23" t="n">
        <v>0.25</v>
      </c>
      <c r="C9" s="22" t="inlineStr">
        <is>
          <t>€</t>
        </is>
      </c>
      <c r="D9" s="22" t="inlineStr">
        <is>
          <t>Separate deposit</t>
        </is>
      </c>
    </row>
    <row r="10">
      <c r="A10" s="22" t="inlineStr">
        <is>
          <t>Retailer Margin</t>
        </is>
      </c>
      <c r="B10" s="24" t="n">
        <v>0.4</v>
      </c>
      <c r="C10" s="22" t="inlineStr">
        <is>
          <t>%</t>
        </is>
      </c>
      <c r="D10" s="22" t="inlineStr">
        <is>
          <t>As % of UVP (35-45% range)</t>
        </is>
      </c>
    </row>
    <row r="11">
      <c r="A11" s="22" t="inlineStr">
        <is>
          <t>Distributor Margin</t>
        </is>
      </c>
      <c r="B11" s="24" t="n">
        <v>0.2</v>
      </c>
      <c r="C11" s="22" t="inlineStr">
        <is>
          <t>%</t>
        </is>
      </c>
      <c r="D11" s="22" t="inlineStr">
        <is>
          <t>As % of remaining (15-25% range)</t>
        </is>
      </c>
    </row>
    <row r="12">
      <c r="A12" s="22" t="inlineStr">
        <is>
          <t>Ex-Factory Price (calculated)</t>
        </is>
      </c>
      <c r="B12" s="25">
        <f>B7/(1+B8)/(1-B10)/(1-B11)</f>
        <v/>
      </c>
      <c r="C12" s="22" t="inlineStr">
        <is>
          <t>€</t>
        </is>
      </c>
      <c r="D12" s="22" t="inlineStr">
        <is>
          <t>Automated calculation</t>
        </is>
      </c>
    </row>
    <row r="14">
      <c r="A14" s="21" t="inlineStr">
        <is>
          <t>2. COGS BREAKDOWN (per can)</t>
        </is>
      </c>
    </row>
    <row r="15">
      <c r="A15" s="3" t="inlineStr">
        <is>
          <t>Component</t>
        </is>
      </c>
      <c r="B15" s="3" t="inlineStr">
        <is>
          <t>Cost (€)</t>
        </is>
      </c>
      <c r="C15" s="3" t="inlineStr">
        <is>
          <t>Range</t>
        </is>
      </c>
      <c r="D15" s="3" t="inlineStr">
        <is>
          <t>Notes</t>
        </is>
      </c>
    </row>
    <row r="16">
      <c r="A16" s="22" t="inlineStr">
        <is>
          <t>Aroma/Distillates</t>
        </is>
      </c>
      <c r="B16" s="26" t="n">
        <v>0.0475</v>
      </c>
      <c r="C16" s="22" t="inlineStr">
        <is>
          <t>€0.035-0.060</t>
        </is>
      </c>
      <c r="D16" s="22" t="inlineStr">
        <is>
          <t>Botanical extracts, essential oils</t>
        </is>
      </c>
    </row>
    <row r="17">
      <c r="A17" s="22" t="inlineStr">
        <is>
          <t>Acids/Sweetener/Minerals</t>
        </is>
      </c>
      <c r="B17" s="26" t="n">
        <v>0.015</v>
      </c>
      <c r="C17" s="22" t="inlineStr">
        <is>
          <t>€0.010-0.020</t>
        </is>
      </c>
      <c r="D17" s="22" t="inlineStr">
        <is>
          <t>Citric acid, natural sweeteners, minerals</t>
        </is>
      </c>
    </row>
    <row r="18">
      <c r="A18" s="22" t="inlineStr">
        <is>
          <t>Water/CO2</t>
        </is>
      </c>
      <c r="B18" s="26" t="n">
        <v>0.0075</v>
      </c>
      <c r="C18" s="22" t="inlineStr">
        <is>
          <t>€0.005-0.010</t>
        </is>
      </c>
      <c r="D18" s="22" t="inlineStr">
        <is>
          <t>Purified water, carbonation</t>
        </is>
      </c>
    </row>
    <row r="19">
      <c r="A19" s="22" t="inlineStr">
        <is>
          <t>Can Body (250ml)</t>
        </is>
      </c>
      <c r="B19" s="26" t="n">
        <v>0.145</v>
      </c>
      <c r="C19" s="22" t="inlineStr">
        <is>
          <t>€0.130-0.160</t>
        </is>
      </c>
      <c r="D19" s="22" t="inlineStr">
        <is>
          <t>Aluminum can - largest cost component</t>
        </is>
      </c>
    </row>
    <row r="20">
      <c r="A20" s="22" t="inlineStr">
        <is>
          <t>End/Tab</t>
        </is>
      </c>
      <c r="B20" s="26" t="n">
        <v>0.025</v>
      </c>
      <c r="C20" s="22" t="inlineStr">
        <is>
          <t>€0.020-0.030</t>
        </is>
      </c>
      <c r="D20" s="22" t="inlineStr">
        <is>
          <t>Can lid and tab</t>
        </is>
      </c>
    </row>
    <row r="21">
      <c r="A21" s="22" t="inlineStr">
        <is>
          <t>Co-Packing/Filling</t>
        </is>
      </c>
      <c r="B21" s="26" t="n">
        <v>0.1</v>
      </c>
      <c r="C21" s="22" t="inlineStr">
        <is>
          <t>€0.080-0.120</t>
        </is>
      </c>
      <c r="D21" s="22" t="inlineStr">
        <is>
          <t>Contract manufacturing/filling</t>
        </is>
      </c>
    </row>
    <row r="22">
      <c r="A22" s="22" t="inlineStr">
        <is>
          <t>Secondary Packaging</t>
        </is>
      </c>
      <c r="B22" s="26" t="n">
        <v>0.06</v>
      </c>
      <c r="C22" s="22" t="inlineStr">
        <is>
          <t>€0.050-0.070</t>
        </is>
      </c>
      <c r="D22" s="22" t="inlineStr">
        <is>
          <t>Cardboard trays, shrink wrap</t>
        </is>
      </c>
    </row>
    <row r="23">
      <c r="A23" s="22" t="inlineStr">
        <is>
          <t>Logistics/Freight</t>
        </is>
      </c>
      <c r="B23" s="26" t="n">
        <v>0.04</v>
      </c>
      <c r="C23" s="22" t="inlineStr">
        <is>
          <t>€0.030-0.050</t>
        </is>
      </c>
      <c r="D23" s="22" t="inlineStr">
        <is>
          <t>Transport to warehouse</t>
        </is>
      </c>
    </row>
    <row r="24">
      <c r="A24" s="22" t="inlineStr">
        <is>
          <t>QC/Testing</t>
        </is>
      </c>
      <c r="B24" s="26" t="n">
        <v>0.0075</v>
      </c>
      <c r="C24" s="22" t="inlineStr">
        <is>
          <t>€0.005-0.010</t>
        </is>
      </c>
      <c r="D24" s="22" t="inlineStr">
        <is>
          <t>Quality control, lab tests</t>
        </is>
      </c>
    </row>
    <row r="25">
      <c r="A25" s="22" t="inlineStr">
        <is>
          <t>Total COGS (calculated)</t>
        </is>
      </c>
      <c r="B25" s="27">
        <f>SUM(B16:B24)</f>
        <v/>
      </c>
      <c r="C25" s="22" t="inlineStr">
        <is>
          <t>€0.40 target</t>
        </is>
      </c>
      <c r="D25" s="22" t="inlineStr">
        <is>
          <t>Sum of all components</t>
        </is>
      </c>
    </row>
    <row r="27">
      <c r="A27" s="21" t="inlineStr">
        <is>
          <t>3. VOLUME ASSUMPTIONS</t>
        </is>
      </c>
    </row>
    <row r="28">
      <c r="A28" s="3" t="inlineStr">
        <is>
          <t>Parameter</t>
        </is>
      </c>
      <c r="B28" s="3" t="inlineStr">
        <is>
          <t>Value</t>
        </is>
      </c>
      <c r="C28" s="3" t="inlineStr">
        <is>
          <t>Unit</t>
        </is>
      </c>
      <c r="D28" s="3" t="inlineStr">
        <is>
          <t>Notes</t>
        </is>
      </c>
    </row>
    <row r="29">
      <c r="A29" s="22" t="inlineStr">
        <is>
          <t>Year 1 Total Volume</t>
        </is>
      </c>
      <c r="B29" s="28" t="n">
        <v>100000</v>
      </c>
      <c r="C29" s="22" t="inlineStr">
        <is>
          <t>cans</t>
        </is>
      </c>
      <c r="D29" s="22" t="inlineStr">
        <is>
          <t>Conservative first year target</t>
        </is>
      </c>
    </row>
    <row r="30">
      <c r="A30" s="22" t="inlineStr">
        <is>
          <t>Year 2 Total Volume</t>
        </is>
      </c>
      <c r="B30" s="28" t="n">
        <v>275000</v>
      </c>
      <c r="C30" s="22" t="inlineStr">
        <is>
          <t>cans</t>
        </is>
      </c>
      <c r="D30" s="22" t="inlineStr">
        <is>
          <t>175% growth</t>
        </is>
      </c>
    </row>
    <row r="31">
      <c r="A31" s="22" t="inlineStr">
        <is>
          <t>Year 3 Total Volume</t>
        </is>
      </c>
      <c r="B31" s="28" t="n">
        <v>475000</v>
      </c>
      <c r="C31" s="22" t="inlineStr">
        <is>
          <t>cans</t>
        </is>
      </c>
      <c r="D31" s="22" t="inlineStr">
        <is>
          <t>73% growth</t>
        </is>
      </c>
    </row>
    <row r="32">
      <c r="A32" s="22" t="inlineStr">
        <is>
          <t>Summer Seasonality Factor</t>
        </is>
      </c>
      <c r="B32" s="24" t="n">
        <v>0.15</v>
      </c>
      <c r="C32" s="22" t="inlineStr">
        <is>
          <t>%</t>
        </is>
      </c>
      <c r="D32" s="22" t="inlineStr">
        <is>
          <t>+15% in Jun-Aug</t>
        </is>
      </c>
    </row>
    <row r="33">
      <c r="A33" s="22" t="inlineStr">
        <is>
          <t>Winter Seasonality Factor</t>
        </is>
      </c>
      <c r="B33" s="24" t="n">
        <v>-0.1</v>
      </c>
      <c r="C33" s="22" t="inlineStr">
        <is>
          <t>%</t>
        </is>
      </c>
      <c r="D33" s="22" t="inlineStr">
        <is>
          <t>-10% in Dec-Feb</t>
        </is>
      </c>
    </row>
    <row r="34">
      <c r="A34" s="22" t="inlineStr">
        <is>
          <t>Number of SKUs</t>
        </is>
      </c>
      <c r="B34" s="28" t="n">
        <v>2</v>
      </c>
      <c r="C34" s="22" t="inlineStr"/>
      <c r="D34" s="22" t="inlineStr">
        <is>
          <t>Citrus Juniper, Ginger Bergamot</t>
        </is>
      </c>
    </row>
    <row r="36">
      <c r="A36" s="21" t="inlineStr">
        <is>
          <t>4. CHANNEL MIX (% of volume)</t>
        </is>
      </c>
    </row>
    <row r="37">
      <c r="A37" s="3" t="inlineStr">
        <is>
          <t>Channel</t>
        </is>
      </c>
      <c r="B37" s="3" t="inlineStr">
        <is>
          <t>Year 1</t>
        </is>
      </c>
      <c r="C37" s="3" t="inlineStr">
        <is>
          <t>Year 2</t>
        </is>
      </c>
      <c r="D37" s="3" t="inlineStr">
        <is>
          <t>Year 3</t>
        </is>
      </c>
    </row>
    <row r="38">
      <c r="A38" s="22" t="inlineStr">
        <is>
          <t>LEH (Retail)</t>
        </is>
      </c>
      <c r="B38" s="24" t="n">
        <v>0.45</v>
      </c>
      <c r="C38" s="24" t="n">
        <v>0.5</v>
      </c>
      <c r="D38" s="24" t="n">
        <v>0.55</v>
      </c>
    </row>
    <row r="39">
      <c r="A39" s="22" t="inlineStr">
        <is>
          <t>Office/B2B</t>
        </is>
      </c>
      <c r="B39" s="24" t="n">
        <v>0.25</v>
      </c>
      <c r="C39" s="24" t="n">
        <v>0.25</v>
      </c>
      <c r="D39" s="24" t="n">
        <v>0.25</v>
      </c>
    </row>
    <row r="40">
      <c r="A40" s="22" t="inlineStr">
        <is>
          <t>Gastro/HoReCa</t>
        </is>
      </c>
      <c r="B40" s="24" t="n">
        <v>0.2</v>
      </c>
      <c r="C40" s="24" t="n">
        <v>0.15</v>
      </c>
      <c r="D40" s="24" t="n">
        <v>0.12</v>
      </c>
    </row>
    <row r="41">
      <c r="A41" s="22" t="inlineStr">
        <is>
          <t>DTC (Direct)</t>
        </is>
      </c>
      <c r="B41" s="24" t="n">
        <v>0.1</v>
      </c>
      <c r="C41" s="24" t="n">
        <v>0.1</v>
      </c>
      <c r="D41" s="24" t="n">
        <v>0.08</v>
      </c>
    </row>
    <row r="42">
      <c r="A42" s="29" t="inlineStr">
        <is>
          <t>Total (must = 100%)</t>
        </is>
      </c>
      <c r="B42" s="29">
        <f>SUM(B38:B41)</f>
        <v/>
      </c>
      <c r="C42" s="29">
        <f>SUM(C38:C41)</f>
        <v/>
      </c>
      <c r="D42" s="29">
        <f>SUM(D38:D41)</f>
        <v/>
      </c>
    </row>
    <row r="44">
      <c r="A44" s="21" t="inlineStr">
        <is>
          <t>5. PERSONNEL COSTS</t>
        </is>
      </c>
    </row>
    <row r="45">
      <c r="A45" s="3" t="inlineStr">
        <is>
          <t>Role</t>
        </is>
      </c>
      <c r="B45" s="3" t="inlineStr">
        <is>
          <t>Annual Cost (€)</t>
        </is>
      </c>
      <c r="C45" s="3" t="inlineStr">
        <is>
          <t>FTE</t>
        </is>
      </c>
      <c r="D45" s="3" t="inlineStr">
        <is>
          <t>Notes</t>
        </is>
      </c>
    </row>
    <row r="46">
      <c r="A46" s="22" t="inlineStr">
        <is>
          <t>Founder (pre-funding)</t>
        </is>
      </c>
      <c r="B46" s="30" t="n">
        <v>0</v>
      </c>
      <c r="C46" s="22" t="n">
        <v>1</v>
      </c>
      <c r="D46" s="22" t="inlineStr">
        <is>
          <t>Deferred until funding received</t>
        </is>
      </c>
    </row>
    <row r="47">
      <c r="A47" s="22" t="inlineStr">
        <is>
          <t>Founder (post-funding)</t>
        </is>
      </c>
      <c r="B47" s="30" t="n">
        <v>48000</v>
      </c>
      <c r="C47" s="22" t="n">
        <v>1</v>
      </c>
      <c r="D47" s="22" t="inlineStr">
        <is>
          <t>Starting from funding date</t>
        </is>
      </c>
    </row>
    <row r="48">
      <c r="A48" s="22" t="inlineStr">
        <is>
          <t>Student Ops Assistant</t>
        </is>
      </c>
      <c r="B48" s="30" t="n">
        <v>18000</v>
      </c>
      <c r="C48" s="22" t="n">
        <v>0.5</v>
      </c>
      <c r="D48" s="22" t="inlineStr">
        <is>
          <t>€18k p.a.</t>
        </is>
      </c>
    </row>
    <row r="49">
      <c r="A49" s="22" t="inlineStr">
        <is>
          <t>Sales/Promo Assistant</t>
        </is>
      </c>
      <c r="B49" s="30" t="n">
        <v>24000</v>
      </c>
      <c r="C49" s="22" t="n">
        <v>0.5</v>
      </c>
      <c r="D49" s="22" t="inlineStr">
        <is>
          <t>€24k p.a.</t>
        </is>
      </c>
    </row>
    <row r="50">
      <c r="A50" s="22" t="inlineStr">
        <is>
          <t>Social Contributions Rate</t>
        </is>
      </c>
      <c r="B50" s="24" t="n">
        <v>0.2</v>
      </c>
      <c r="C50" s="22" t="inlineStr"/>
      <c r="D50" s="22" t="inlineStr">
        <is>
          <t>20% employer contributions</t>
        </is>
      </c>
    </row>
    <row r="52">
      <c r="A52" s="21" t="inlineStr">
        <is>
          <t>6. OPERATING EXPENSES</t>
        </is>
      </c>
    </row>
    <row r="53">
      <c r="A53" s="3" t="inlineStr">
        <is>
          <t>Category</t>
        </is>
      </c>
      <c r="B53" s="3" t="inlineStr">
        <is>
          <t>Value</t>
        </is>
      </c>
      <c r="C53" s="3" t="inlineStr">
        <is>
          <t>Unit</t>
        </is>
      </c>
      <c r="D53" s="3" t="inlineStr">
        <is>
          <t>Notes</t>
        </is>
      </c>
    </row>
    <row r="54">
      <c r="A54" s="22" t="inlineStr">
        <is>
          <t>Marketing/Trade (% of Revenue)</t>
        </is>
      </c>
      <c r="B54" s="24" t="n">
        <v>0.1</v>
      </c>
      <c r="C54" s="22" t="inlineStr">
        <is>
          <t>%</t>
        </is>
      </c>
      <c r="D54" s="22" t="inlineStr">
        <is>
          <t>8-12% range, using 10%</t>
        </is>
      </c>
    </row>
    <row r="55">
      <c r="A55" s="22" t="inlineStr">
        <is>
          <t>G&amp;A Monthly</t>
        </is>
      </c>
      <c r="B55" s="30" t="n">
        <v>2000</v>
      </c>
      <c r="C55" s="22" t="inlineStr">
        <is>
          <t>€/month</t>
        </is>
      </c>
      <c r="D55" s="22" t="inlineStr">
        <is>
          <t>€1.5-2.5k range</t>
        </is>
      </c>
    </row>
    <row r="56">
      <c r="A56" s="22" t="inlineStr">
        <is>
          <t>Quality/Lab Testing (Y1)</t>
        </is>
      </c>
      <c r="B56" s="30" t="n">
        <v>8000</v>
      </c>
      <c r="C56" s="22" t="inlineStr">
        <is>
          <t>€/year</t>
        </is>
      </c>
      <c r="D56" s="22" t="inlineStr">
        <is>
          <t>€6-10k range</t>
        </is>
      </c>
    </row>
    <row r="57">
      <c r="A57" s="22" t="inlineStr">
        <is>
          <t>Design/Labels (one-time)</t>
        </is>
      </c>
      <c r="B57" s="30" t="n">
        <v>6500</v>
      </c>
      <c r="C57" s="22" t="inlineStr">
        <is>
          <t>€</t>
        </is>
      </c>
      <c r="D57" s="22" t="inlineStr">
        <is>
          <t>€5-8k one-time cost</t>
        </is>
      </c>
    </row>
    <row r="58">
      <c r="A58" s="22" t="inlineStr">
        <is>
          <t>Insurance</t>
        </is>
      </c>
      <c r="B58" s="30" t="n">
        <v>3000</v>
      </c>
      <c r="C58" s="22" t="inlineStr">
        <is>
          <t>€/year</t>
        </is>
      </c>
      <c r="D58" s="22" t="inlineStr">
        <is>
          <t>Product liability, business insurance</t>
        </is>
      </c>
    </row>
    <row r="59">
      <c r="A59" s="22" t="inlineStr">
        <is>
          <t>Legal/Accounting</t>
        </is>
      </c>
      <c r="B59" s="30" t="n">
        <v>5000</v>
      </c>
      <c r="C59" s="22" t="inlineStr">
        <is>
          <t>€/year</t>
        </is>
      </c>
      <c r="D59" s="22" t="inlineStr">
        <is>
          <t>Basic legal and bookkeeping</t>
        </is>
      </c>
    </row>
    <row r="61">
      <c r="A61" s="21" t="inlineStr">
        <is>
          <t>7. MOQ &amp; PAYMENT TERMS</t>
        </is>
      </c>
    </row>
    <row r="62">
      <c r="A62" s="3" t="inlineStr">
        <is>
          <t>Parameter</t>
        </is>
      </c>
      <c r="B62" s="3" t="inlineStr">
        <is>
          <t>Value</t>
        </is>
      </c>
      <c r="C62" s="3" t="inlineStr">
        <is>
          <t>Unit</t>
        </is>
      </c>
      <c r="D62" s="3" t="inlineStr">
        <is>
          <t>Notes</t>
        </is>
      </c>
    </row>
    <row r="63">
      <c r="A63" s="22" t="inlineStr">
        <is>
          <t>Can MOQ</t>
        </is>
      </c>
      <c r="B63" s="31" t="n">
        <v>75000</v>
      </c>
      <c r="C63" s="22" t="inlineStr">
        <is>
          <t>units</t>
        </is>
      </c>
      <c r="D63" s="22" t="inlineStr">
        <is>
          <t>50-100k range</t>
        </is>
      </c>
    </row>
    <row r="64">
      <c r="A64" s="22" t="inlineStr">
        <is>
          <t>Aroma MOQ</t>
        </is>
      </c>
      <c r="B64" s="31" t="n">
        <v>7.5</v>
      </c>
      <c r="C64" s="22" t="inlineStr">
        <is>
          <t>liters</t>
        </is>
      </c>
      <c r="D64" s="22" t="inlineStr">
        <is>
          <t>5-10L range</t>
        </is>
      </c>
    </row>
    <row r="65">
      <c r="A65" s="22" t="inlineStr">
        <is>
          <t>Co-Packer MOQ per run</t>
        </is>
      </c>
      <c r="B65" s="31" t="n">
        <v>30000</v>
      </c>
      <c r="C65" s="22" t="inlineStr">
        <is>
          <t>units</t>
        </is>
      </c>
      <c r="D65" s="22" t="inlineStr">
        <is>
          <t>20-40k range</t>
        </is>
      </c>
    </row>
    <row r="66">
      <c r="A66" s="22" t="inlineStr">
        <is>
          <t>Pilot Batch Size</t>
        </is>
      </c>
      <c r="B66" s="31" t="n">
        <v>20000</v>
      </c>
      <c r="C66" s="22" t="inlineStr">
        <is>
          <t>cans</t>
        </is>
      </c>
      <c r="D66" s="22" t="inlineStr">
        <is>
          <t>2 SKUs × 10k each</t>
        </is>
      </c>
    </row>
    <row r="67">
      <c r="A67" s="22" t="inlineStr">
        <is>
          <t>Payment Terms - Suppliers</t>
        </is>
      </c>
      <c r="B67" s="28" t="n">
        <v>30</v>
      </c>
      <c r="C67" s="22" t="inlineStr">
        <is>
          <t>days</t>
        </is>
      </c>
      <c r="D67" s="22" t="inlineStr">
        <is>
          <t>Net 30</t>
        </is>
      </c>
    </row>
    <row r="68">
      <c r="A68" s="22" t="inlineStr">
        <is>
          <t>Payment Terms - Customers</t>
        </is>
      </c>
      <c r="B68" s="28" t="n">
        <v>45</v>
      </c>
      <c r="C68" s="22" t="inlineStr">
        <is>
          <t>days</t>
        </is>
      </c>
      <c r="D68" s="22" t="inlineStr">
        <is>
          <t>Net 45 (retail)</t>
        </is>
      </c>
    </row>
    <row r="70">
      <c r="A70" s="21" t="inlineStr">
        <is>
          <t>8. FUNDING ASSUMPTIONS</t>
        </is>
      </c>
    </row>
    <row r="71">
      <c r="A71" s="3" t="inlineStr">
        <is>
          <t>Parameter</t>
        </is>
      </c>
      <c r="B71" s="3" t="inlineStr">
        <is>
          <t>Value</t>
        </is>
      </c>
      <c r="C71" s="3" t="inlineStr">
        <is>
          <t>Unit</t>
        </is>
      </c>
      <c r="D71" s="3" t="inlineStr">
        <is>
          <t>Notes</t>
        </is>
      </c>
    </row>
    <row r="72">
      <c r="A72" s="22" t="inlineStr">
        <is>
          <t>Own Capital</t>
        </is>
      </c>
      <c r="B72" s="30" t="n">
        <v>7500</v>
      </c>
      <c r="C72" s="22" t="inlineStr">
        <is>
          <t>€</t>
        </is>
      </c>
      <c r="D72" s="22" t="inlineStr">
        <is>
          <t>€5-10k range</t>
        </is>
      </c>
    </row>
    <row r="73">
      <c r="A73" s="22" t="inlineStr">
        <is>
          <t>Pre-Seed Ask</t>
        </is>
      </c>
      <c r="B73" s="30" t="n">
        <v>500000</v>
      </c>
      <c r="C73" s="22" t="inlineStr">
        <is>
          <t>€</t>
        </is>
      </c>
      <c r="D73" s="22" t="inlineStr">
        <is>
          <t>Convertible loan</t>
        </is>
      </c>
    </row>
    <row r="74">
      <c r="A74" s="22" t="inlineStr">
        <is>
          <t>Interest Rate (Convertible)</t>
        </is>
      </c>
      <c r="B74" s="24" t="n">
        <v>0.05</v>
      </c>
      <c r="C74" s="22" t="inlineStr">
        <is>
          <t>%</t>
        </is>
      </c>
      <c r="D74" s="22" t="inlineStr">
        <is>
          <t>5% p.a.</t>
        </is>
      </c>
    </row>
    <row r="75">
      <c r="A75" s="22" t="inlineStr">
        <is>
          <t>Discount Rate (Conversion)</t>
        </is>
      </c>
      <c r="B75" s="24" t="n">
        <v>0.2</v>
      </c>
      <c r="C75" s="22" t="inlineStr">
        <is>
          <t>%</t>
        </is>
      </c>
      <c r="D75" s="22" t="inlineStr">
        <is>
          <t>20% discount on Series A</t>
        </is>
      </c>
    </row>
    <row r="76">
      <c r="A76" s="22" t="inlineStr">
        <is>
          <t>Valuation Cap</t>
        </is>
      </c>
      <c r="B76" s="30" t="n">
        <v>3000000</v>
      </c>
      <c r="C76" s="22" t="inlineStr">
        <is>
          <t>€</t>
        </is>
      </c>
      <c r="D76" s="22" t="inlineStr">
        <is>
          <t>€3M cap</t>
        </is>
      </c>
    </row>
    <row r="77">
      <c r="A77" s="22" t="inlineStr">
        <is>
          <t>Tax Rate</t>
        </is>
      </c>
      <c r="B77" s="24" t="n">
        <v>0.3</v>
      </c>
      <c r="C77" s="22" t="inlineStr">
        <is>
          <t>%</t>
        </is>
      </c>
      <c r="D77" s="22" t="inlineStr">
        <is>
          <t>~30% effective rate (corp tax + solidarity)</t>
        </is>
      </c>
    </row>
    <row r="79">
      <c r="A79" s="21" t="inlineStr">
        <is>
          <t>9. SCENARIO ADJUSTMENTS</t>
        </is>
      </c>
    </row>
    <row r="80">
      <c r="A80" s="3" t="inlineStr">
        <is>
          <t>Scenario</t>
        </is>
      </c>
      <c r="B80" s="3" t="inlineStr">
        <is>
          <t>Volume Adj</t>
        </is>
      </c>
      <c r="C80" s="3" t="inlineStr">
        <is>
          <t>COGS Adj</t>
        </is>
      </c>
      <c r="D80" s="3" t="inlineStr">
        <is>
          <t>Margin Adj</t>
        </is>
      </c>
    </row>
    <row r="81">
      <c r="A81" s="22" t="inlineStr">
        <is>
          <t>Base Case</t>
        </is>
      </c>
      <c r="B81" s="24" t="n">
        <v>0</v>
      </c>
      <c r="C81" s="23" t="n">
        <v>0</v>
      </c>
      <c r="D81" s="24" t="n">
        <v>0</v>
      </c>
    </row>
    <row r="82">
      <c r="A82" s="22" t="inlineStr">
        <is>
          <t>Bull Case</t>
        </is>
      </c>
      <c r="B82" s="24" t="n">
        <v>0.2</v>
      </c>
      <c r="C82" s="23" t="n">
        <v>-0.03</v>
      </c>
      <c r="D82" s="24" t="n">
        <v>0.02</v>
      </c>
    </row>
    <row r="83">
      <c r="A83" s="22" t="inlineStr">
        <is>
          <t>Bear Case</t>
        </is>
      </c>
      <c r="B83" s="24" t="n">
        <v>-0.2</v>
      </c>
      <c r="C83" s="23" t="n">
        <v>0.03</v>
      </c>
      <c r="D83" s="24" t="n">
        <v>-0.02</v>
      </c>
    </row>
  </sheetData>
  <mergeCells count="11">
    <mergeCell ref="A1:D1"/>
    <mergeCell ref="A5:D5"/>
    <mergeCell ref="A70:D70"/>
    <mergeCell ref="A27:D27"/>
    <mergeCell ref="A79:D79"/>
    <mergeCell ref="A61:D61"/>
    <mergeCell ref="A3:D3"/>
    <mergeCell ref="A52:D52"/>
    <mergeCell ref="A36:D36"/>
    <mergeCell ref="A14:D14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9" t="inlineStr">
        <is>
          <t>DEEP DIVE BOTANICALS - YEAR 1 PROFIT &amp; LOSS (MONTHLY)</t>
        </is>
      </c>
    </row>
    <row r="3">
      <c r="A3" s="32" t="inlineStr">
        <is>
          <t>Line Item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Apr</t>
        </is>
      </c>
      <c r="F3" s="3" t="inlineStr">
        <is>
          <t>May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Aug</t>
        </is>
      </c>
      <c r="J3" s="3" t="inlineStr">
        <is>
          <t>Sep</t>
        </is>
      </c>
      <c r="K3" s="3" t="inlineStr">
        <is>
          <t>Oct</t>
        </is>
      </c>
      <c r="L3" s="3" t="inlineStr">
        <is>
          <t>Nov</t>
        </is>
      </c>
      <c r="M3" s="3" t="inlineStr">
        <is>
          <t>Dec</t>
        </is>
      </c>
      <c r="N3" s="3" t="inlineStr">
        <is>
          <t>Year 1 Total</t>
        </is>
      </c>
    </row>
    <row r="4">
      <c r="A4" s="2" t="inlineStr">
        <is>
          <t>REVENUE</t>
        </is>
      </c>
    </row>
    <row r="5">
      <c r="A5" s="33" t="inlineStr">
        <is>
          <t>Units Sold</t>
        </is>
      </c>
      <c r="B5" s="5">
        <f>Assumptions!$B$38/12*0.9</f>
        <v/>
      </c>
      <c r="C5" s="5">
        <f>Assumptions!$B$38/12*0.9</f>
        <v/>
      </c>
      <c r="D5" s="5">
        <f>Assumptions!$B$38/12*1.0</f>
        <v/>
      </c>
      <c r="E5" s="5">
        <f>Assumptions!$B$38/12*1.0</f>
        <v/>
      </c>
      <c r="F5" s="5">
        <f>Assumptions!$B$38/12*1.0</f>
        <v/>
      </c>
      <c r="G5" s="5">
        <f>Assumptions!$B$38/12*1.15</f>
        <v/>
      </c>
      <c r="H5" s="5">
        <f>Assumptions!$B$38/12*1.15</f>
        <v/>
      </c>
      <c r="I5" s="5">
        <f>Assumptions!$B$38/12*1.15</f>
        <v/>
      </c>
      <c r="J5" s="5">
        <f>Assumptions!$B$38/12*1.0</f>
        <v/>
      </c>
      <c r="K5" s="5">
        <f>Assumptions!$B$38/12*1.0</f>
        <v/>
      </c>
      <c r="L5" s="5">
        <f>Assumptions!$B$38/12*1.0</f>
        <v/>
      </c>
      <c r="M5" s="5">
        <f>Assumptions!$B$38/12*0.9</f>
        <v/>
      </c>
      <c r="N5" s="6">
        <f>SUM(B5:M5)</f>
        <v/>
      </c>
    </row>
    <row r="6">
      <c r="A6" s="33" t="inlineStr">
        <is>
          <t xml:space="preserve">  LEH (Retail)</t>
        </is>
      </c>
      <c r="B6" s="5">
        <f>B5*Assumptions!$B$47</f>
        <v/>
      </c>
      <c r="C6" s="5">
        <f>B5*Assumptions!$B$47</f>
        <v/>
      </c>
      <c r="D6" s="5">
        <f>B5*Assumptions!$B$47</f>
        <v/>
      </c>
      <c r="E6" s="5">
        <f>B5*Assumptions!$B$47</f>
        <v/>
      </c>
      <c r="F6" s="5">
        <f>B5*Assumptions!$B$47</f>
        <v/>
      </c>
      <c r="G6" s="5">
        <f>B5*Assumptions!$B$47</f>
        <v/>
      </c>
      <c r="H6" s="5">
        <f>B5*Assumptions!$B$47</f>
        <v/>
      </c>
      <c r="I6" s="5">
        <f>B5*Assumptions!$B$47</f>
        <v/>
      </c>
      <c r="J6" s="5">
        <f>B5*Assumptions!$B$47</f>
        <v/>
      </c>
      <c r="K6" s="5">
        <f>B5*Assumptions!$B$47</f>
        <v/>
      </c>
      <c r="L6" s="5">
        <f>B5*Assumptions!$B$47</f>
        <v/>
      </c>
      <c r="M6" s="5">
        <f>B5*Assumptions!$B$47</f>
        <v/>
      </c>
      <c r="N6" s="6">
        <f>SUM(B6:M6)</f>
        <v/>
      </c>
    </row>
    <row r="7">
      <c r="A7" s="33" t="inlineStr">
        <is>
          <t xml:space="preserve">  Office/B2B</t>
        </is>
      </c>
      <c r="B7" s="5">
        <f>B5*Assumptions!$B$48</f>
        <v/>
      </c>
      <c r="C7" s="5">
        <f>B5*Assumptions!$B$48</f>
        <v/>
      </c>
      <c r="D7" s="5">
        <f>B5*Assumptions!$B$48</f>
        <v/>
      </c>
      <c r="E7" s="5">
        <f>B5*Assumptions!$B$48</f>
        <v/>
      </c>
      <c r="F7" s="5">
        <f>B5*Assumptions!$B$48</f>
        <v/>
      </c>
      <c r="G7" s="5">
        <f>B5*Assumptions!$B$48</f>
        <v/>
      </c>
      <c r="H7" s="5">
        <f>B5*Assumptions!$B$48</f>
        <v/>
      </c>
      <c r="I7" s="5">
        <f>B5*Assumptions!$B$48</f>
        <v/>
      </c>
      <c r="J7" s="5">
        <f>B5*Assumptions!$B$48</f>
        <v/>
      </c>
      <c r="K7" s="5">
        <f>B5*Assumptions!$B$48</f>
        <v/>
      </c>
      <c r="L7" s="5">
        <f>B5*Assumptions!$B$48</f>
        <v/>
      </c>
      <c r="M7" s="5">
        <f>B5*Assumptions!$B$48</f>
        <v/>
      </c>
      <c r="N7" s="6">
        <f>SUM(B7:M7)</f>
        <v/>
      </c>
    </row>
    <row r="8">
      <c r="A8" s="33" t="inlineStr">
        <is>
          <t xml:space="preserve">  Gastro/HoReCa</t>
        </is>
      </c>
      <c r="B8" s="5">
        <f>B5*Assumptions!$B$49</f>
        <v/>
      </c>
      <c r="C8" s="5">
        <f>B5*Assumptions!$B$49</f>
        <v/>
      </c>
      <c r="D8" s="5">
        <f>B5*Assumptions!$B$49</f>
        <v/>
      </c>
      <c r="E8" s="5">
        <f>B5*Assumptions!$B$49</f>
        <v/>
      </c>
      <c r="F8" s="5">
        <f>B5*Assumptions!$B$49</f>
        <v/>
      </c>
      <c r="G8" s="5">
        <f>B5*Assumptions!$B$49</f>
        <v/>
      </c>
      <c r="H8" s="5">
        <f>B5*Assumptions!$B$49</f>
        <v/>
      </c>
      <c r="I8" s="5">
        <f>B5*Assumptions!$B$49</f>
        <v/>
      </c>
      <c r="J8" s="5">
        <f>B5*Assumptions!$B$49</f>
        <v/>
      </c>
      <c r="K8" s="5">
        <f>B5*Assumptions!$B$49</f>
        <v/>
      </c>
      <c r="L8" s="5">
        <f>B5*Assumptions!$B$49</f>
        <v/>
      </c>
      <c r="M8" s="5">
        <f>B5*Assumptions!$B$49</f>
        <v/>
      </c>
      <c r="N8" s="6">
        <f>SUM(B8:M8)</f>
        <v/>
      </c>
    </row>
    <row r="9">
      <c r="A9" s="33" t="inlineStr">
        <is>
          <t xml:space="preserve">  DTC (Direct)</t>
        </is>
      </c>
      <c r="B9" s="5">
        <f>B5*Assumptions!$B$50</f>
        <v/>
      </c>
      <c r="C9" s="5">
        <f>B5*Assumptions!$B$50</f>
        <v/>
      </c>
      <c r="D9" s="5">
        <f>B5*Assumptions!$B$50</f>
        <v/>
      </c>
      <c r="E9" s="5">
        <f>B5*Assumptions!$B$50</f>
        <v/>
      </c>
      <c r="F9" s="5">
        <f>B5*Assumptions!$B$50</f>
        <v/>
      </c>
      <c r="G9" s="5">
        <f>B5*Assumptions!$B$50</f>
        <v/>
      </c>
      <c r="H9" s="5">
        <f>B5*Assumptions!$B$50</f>
        <v/>
      </c>
      <c r="I9" s="5">
        <f>B5*Assumptions!$B$50</f>
        <v/>
      </c>
      <c r="J9" s="5">
        <f>B5*Assumptions!$B$50</f>
        <v/>
      </c>
      <c r="K9" s="5">
        <f>B5*Assumptions!$B$50</f>
        <v/>
      </c>
      <c r="L9" s="5">
        <f>B5*Assumptions!$B$50</f>
        <v/>
      </c>
      <c r="M9" s="5">
        <f>B5*Assumptions!$B$50</f>
        <v/>
      </c>
      <c r="N9" s="6">
        <f>SUM(B9:M9)</f>
        <v/>
      </c>
    </row>
    <row r="10">
      <c r="A10" s="33" t="inlineStr"/>
    </row>
    <row r="11">
      <c r="A11" s="33" t="inlineStr">
        <is>
          <t>Revenue (ex-factory)</t>
        </is>
      </c>
      <c r="B11" s="7">
        <f>B5*Assumptions!$B$12</f>
        <v/>
      </c>
      <c r="C11" s="7">
        <f>B5*Assumptions!$B$12</f>
        <v/>
      </c>
      <c r="D11" s="7">
        <f>B5*Assumptions!$B$12</f>
        <v/>
      </c>
      <c r="E11" s="7">
        <f>B5*Assumptions!$B$12</f>
        <v/>
      </c>
      <c r="F11" s="7">
        <f>B5*Assumptions!$B$12</f>
        <v/>
      </c>
      <c r="G11" s="7">
        <f>B5*Assumptions!$B$12</f>
        <v/>
      </c>
      <c r="H11" s="7">
        <f>B5*Assumptions!$B$12</f>
        <v/>
      </c>
      <c r="I11" s="7">
        <f>B5*Assumptions!$B$12</f>
        <v/>
      </c>
      <c r="J11" s="7">
        <f>B5*Assumptions!$B$12</f>
        <v/>
      </c>
      <c r="K11" s="7">
        <f>B5*Assumptions!$B$12</f>
        <v/>
      </c>
      <c r="L11" s="7">
        <f>B5*Assumptions!$B$12</f>
        <v/>
      </c>
      <c r="M11" s="7">
        <f>B5*Assumptions!$B$12</f>
        <v/>
      </c>
      <c r="N11" s="8">
        <f>SUM(B11:M11)</f>
        <v/>
      </c>
    </row>
    <row r="12">
      <c r="A12" s="33" t="inlineStr">
        <is>
          <t xml:space="preserve">  LEH Revenue</t>
        </is>
      </c>
      <c r="B12" s="7">
        <f>B6*Assumptions!$B$12</f>
        <v/>
      </c>
      <c r="C12" s="7">
        <f>B6*Assumptions!$B$12</f>
        <v/>
      </c>
      <c r="D12" s="7">
        <f>B6*Assumptions!$B$12</f>
        <v/>
      </c>
      <c r="E12" s="7">
        <f>B6*Assumptions!$B$12</f>
        <v/>
      </c>
      <c r="F12" s="7">
        <f>B6*Assumptions!$B$12</f>
        <v/>
      </c>
      <c r="G12" s="7">
        <f>B6*Assumptions!$B$12</f>
        <v/>
      </c>
      <c r="H12" s="7">
        <f>B6*Assumptions!$B$12</f>
        <v/>
      </c>
      <c r="I12" s="7">
        <f>B6*Assumptions!$B$12</f>
        <v/>
      </c>
      <c r="J12" s="7">
        <f>B6*Assumptions!$B$12</f>
        <v/>
      </c>
      <c r="K12" s="7">
        <f>B6*Assumptions!$B$12</f>
        <v/>
      </c>
      <c r="L12" s="7">
        <f>B6*Assumptions!$B$12</f>
        <v/>
      </c>
      <c r="M12" s="7">
        <f>B6*Assumptions!$B$12</f>
        <v/>
      </c>
      <c r="N12" s="8">
        <f>SUM(B12:M12)</f>
        <v/>
      </c>
    </row>
    <row r="13">
      <c r="A13" s="33" t="inlineStr">
        <is>
          <t xml:space="preserve">  Office Revenue</t>
        </is>
      </c>
      <c r="B13" s="7">
        <f>B7*Assumptions!$B$12</f>
        <v/>
      </c>
      <c r="C13" s="7">
        <f>B7*Assumptions!$B$12</f>
        <v/>
      </c>
      <c r="D13" s="7">
        <f>B7*Assumptions!$B$12</f>
        <v/>
      </c>
      <c r="E13" s="7">
        <f>B7*Assumptions!$B$12</f>
        <v/>
      </c>
      <c r="F13" s="7">
        <f>B7*Assumptions!$B$12</f>
        <v/>
      </c>
      <c r="G13" s="7">
        <f>B7*Assumptions!$B$12</f>
        <v/>
      </c>
      <c r="H13" s="7">
        <f>B7*Assumptions!$B$12</f>
        <v/>
      </c>
      <c r="I13" s="7">
        <f>B7*Assumptions!$B$12</f>
        <v/>
      </c>
      <c r="J13" s="7">
        <f>B7*Assumptions!$B$12</f>
        <v/>
      </c>
      <c r="K13" s="7">
        <f>B7*Assumptions!$B$12</f>
        <v/>
      </c>
      <c r="L13" s="7">
        <f>B7*Assumptions!$B$12</f>
        <v/>
      </c>
      <c r="M13" s="7">
        <f>B7*Assumptions!$B$12</f>
        <v/>
      </c>
      <c r="N13" s="8">
        <f>SUM(B13:M13)</f>
        <v/>
      </c>
    </row>
    <row r="14">
      <c r="A14" s="33" t="inlineStr">
        <is>
          <t xml:space="preserve">  Gastro Revenue</t>
        </is>
      </c>
      <c r="B14" s="7">
        <f>B8*Assumptions!$B$12</f>
        <v/>
      </c>
      <c r="C14" s="7">
        <f>B8*Assumptions!$B$12</f>
        <v/>
      </c>
      <c r="D14" s="7">
        <f>B8*Assumptions!$B$12</f>
        <v/>
      </c>
      <c r="E14" s="7">
        <f>B8*Assumptions!$B$12</f>
        <v/>
      </c>
      <c r="F14" s="7">
        <f>B8*Assumptions!$B$12</f>
        <v/>
      </c>
      <c r="G14" s="7">
        <f>B8*Assumptions!$B$12</f>
        <v/>
      </c>
      <c r="H14" s="7">
        <f>B8*Assumptions!$B$12</f>
        <v/>
      </c>
      <c r="I14" s="7">
        <f>B8*Assumptions!$B$12</f>
        <v/>
      </c>
      <c r="J14" s="7">
        <f>B8*Assumptions!$B$12</f>
        <v/>
      </c>
      <c r="K14" s="7">
        <f>B8*Assumptions!$B$12</f>
        <v/>
      </c>
      <c r="L14" s="7">
        <f>B8*Assumptions!$B$12</f>
        <v/>
      </c>
      <c r="M14" s="7">
        <f>B8*Assumptions!$B$12</f>
        <v/>
      </c>
      <c r="N14" s="8">
        <f>SUM(B14:M14)</f>
        <v/>
      </c>
    </row>
    <row r="15">
      <c r="A15" s="33" t="inlineStr">
        <is>
          <t xml:space="preserve">  DTC Revenue</t>
        </is>
      </c>
      <c r="B15" s="7">
        <f>B9*Assumptions!$B$12</f>
        <v/>
      </c>
      <c r="C15" s="7">
        <f>B9*Assumptions!$B$12</f>
        <v/>
      </c>
      <c r="D15" s="7">
        <f>B9*Assumptions!$B$12</f>
        <v/>
      </c>
      <c r="E15" s="7">
        <f>B9*Assumptions!$B$12</f>
        <v/>
      </c>
      <c r="F15" s="7">
        <f>B9*Assumptions!$B$12</f>
        <v/>
      </c>
      <c r="G15" s="7">
        <f>B9*Assumptions!$B$12</f>
        <v/>
      </c>
      <c r="H15" s="7">
        <f>B9*Assumptions!$B$12</f>
        <v/>
      </c>
      <c r="I15" s="7">
        <f>B9*Assumptions!$B$12</f>
        <v/>
      </c>
      <c r="J15" s="7">
        <f>B9*Assumptions!$B$12</f>
        <v/>
      </c>
      <c r="K15" s="7">
        <f>B9*Assumptions!$B$12</f>
        <v/>
      </c>
      <c r="L15" s="7">
        <f>B9*Assumptions!$B$12</f>
        <v/>
      </c>
      <c r="M15" s="7">
        <f>B9*Assumptions!$B$12</f>
        <v/>
      </c>
      <c r="N15" s="8">
        <f>SUM(B15:M15)</f>
        <v/>
      </c>
    </row>
    <row r="17">
      <c r="A17" s="2" t="inlineStr">
        <is>
          <t>COST OF GOODS SOLD</t>
        </is>
      </c>
    </row>
    <row r="18">
      <c r="A18" s="33" t="inlineStr">
        <is>
          <t>COGS per unit</t>
        </is>
      </c>
      <c r="B18" s="34">
        <f>Assumptions!$B$27</f>
        <v/>
      </c>
      <c r="C18" s="34">
        <f>Assumptions!$B$27</f>
        <v/>
      </c>
      <c r="D18" s="34">
        <f>Assumptions!$B$27</f>
        <v/>
      </c>
      <c r="E18" s="34">
        <f>Assumptions!$B$27</f>
        <v/>
      </c>
      <c r="F18" s="34">
        <f>Assumptions!$B$27</f>
        <v/>
      </c>
      <c r="G18" s="34">
        <f>Assumptions!$B$27</f>
        <v/>
      </c>
      <c r="H18" s="34">
        <f>Assumptions!$B$27</f>
        <v/>
      </c>
      <c r="I18" s="34">
        <f>Assumptions!$B$27</f>
        <v/>
      </c>
      <c r="J18" s="34">
        <f>Assumptions!$B$27</f>
        <v/>
      </c>
      <c r="K18" s="34">
        <f>Assumptions!$B$27</f>
        <v/>
      </c>
      <c r="L18" s="34">
        <f>Assumptions!$B$27</f>
        <v/>
      </c>
      <c r="M18" s="34">
        <f>Assumptions!$B$27</f>
        <v/>
      </c>
      <c r="N18" s="35">
        <f>Assumptions!$B$27</f>
        <v/>
      </c>
    </row>
    <row r="19">
      <c r="A19" s="33" t="inlineStr">
        <is>
          <t>Total COGS</t>
        </is>
      </c>
      <c r="B19" s="7">
        <f>B5*B18</f>
        <v/>
      </c>
      <c r="C19" s="7">
        <f>B5*B18</f>
        <v/>
      </c>
      <c r="D19" s="7">
        <f>B5*B18</f>
        <v/>
      </c>
      <c r="E19" s="7">
        <f>B5*B18</f>
        <v/>
      </c>
      <c r="F19" s="7">
        <f>B5*B18</f>
        <v/>
      </c>
      <c r="G19" s="7">
        <f>B5*B18</f>
        <v/>
      </c>
      <c r="H19" s="7">
        <f>B5*B18</f>
        <v/>
      </c>
      <c r="I19" s="7">
        <f>B5*B18</f>
        <v/>
      </c>
      <c r="J19" s="7">
        <f>B5*B18</f>
        <v/>
      </c>
      <c r="K19" s="7">
        <f>B5*B18</f>
        <v/>
      </c>
      <c r="L19" s="7">
        <f>B5*B18</f>
        <v/>
      </c>
      <c r="M19" s="7">
        <f>B5*B18</f>
        <v/>
      </c>
      <c r="N19" s="8">
        <f>SUM(B19:M19)</f>
        <v/>
      </c>
    </row>
    <row r="20">
      <c r="A20" s="33" t="inlineStr">
        <is>
          <t>Gross Profit</t>
        </is>
      </c>
      <c r="B20" s="7">
        <f>B12-B19</f>
        <v/>
      </c>
      <c r="C20" s="7">
        <f>B12-B19</f>
        <v/>
      </c>
      <c r="D20" s="7">
        <f>B12-B19</f>
        <v/>
      </c>
      <c r="E20" s="7">
        <f>B12-B19</f>
        <v/>
      </c>
      <c r="F20" s="7">
        <f>B12-B19</f>
        <v/>
      </c>
      <c r="G20" s="7">
        <f>B12-B19</f>
        <v/>
      </c>
      <c r="H20" s="7">
        <f>B12-B19</f>
        <v/>
      </c>
      <c r="I20" s="7">
        <f>B12-B19</f>
        <v/>
      </c>
      <c r="J20" s="7">
        <f>B12-B19</f>
        <v/>
      </c>
      <c r="K20" s="7">
        <f>B12-B19</f>
        <v/>
      </c>
      <c r="L20" s="7">
        <f>B12-B19</f>
        <v/>
      </c>
      <c r="M20" s="7">
        <f>B12-B19</f>
        <v/>
      </c>
      <c r="N20" s="8">
        <f>SUM(B20:M20)</f>
        <v/>
      </c>
    </row>
    <row r="21">
      <c r="A21" s="33" t="inlineStr">
        <is>
          <t>Gross Margin %</t>
        </is>
      </c>
      <c r="B21" s="9">
        <f>B20/B12</f>
        <v/>
      </c>
      <c r="C21" s="9">
        <f>B20/B12</f>
        <v/>
      </c>
      <c r="D21" s="9">
        <f>B20/B12</f>
        <v/>
      </c>
      <c r="E21" s="9">
        <f>B20/B12</f>
        <v/>
      </c>
      <c r="F21" s="9">
        <f>B20/B12</f>
        <v/>
      </c>
      <c r="G21" s="9">
        <f>B20/B12</f>
        <v/>
      </c>
      <c r="H21" s="9">
        <f>B20/B12</f>
        <v/>
      </c>
      <c r="I21" s="9">
        <f>B20/B12</f>
        <v/>
      </c>
      <c r="J21" s="9">
        <f>B20/B12</f>
        <v/>
      </c>
      <c r="K21" s="9">
        <f>B20/B12</f>
        <v/>
      </c>
      <c r="L21" s="9">
        <f>B20/B12</f>
        <v/>
      </c>
      <c r="M21" s="9">
        <f>B20/B12</f>
        <v/>
      </c>
      <c r="N21" s="10">
        <f>N20/N12</f>
        <v/>
      </c>
    </row>
    <row r="23">
      <c r="A23" s="2" t="inlineStr">
        <is>
          <t>OPERATING EXPENSES</t>
        </is>
      </c>
    </row>
    <row r="24">
      <c r="A24" s="33" t="inlineStr">
        <is>
          <t>Personnel Costs</t>
        </is>
      </c>
      <c r="B24" s="7">
        <f>(Assumptions!$B$59+Assumptions!$B$60+Assumptions!$B$61)*(1+Assumptions!$B$62)/12</f>
        <v/>
      </c>
      <c r="C24" s="7">
        <f>(Assumptions!$B$59+Assumptions!$B$60+Assumptions!$B$61)*(1+Assumptions!$B$62)/12</f>
        <v/>
      </c>
      <c r="D24" s="7">
        <f>(Assumptions!$B$59+Assumptions!$B$60+Assumptions!$B$61)*(1+Assumptions!$B$62)/12</f>
        <v/>
      </c>
      <c r="E24" s="7">
        <f>(Assumptions!$B$59+Assumptions!$B$60+Assumptions!$B$61)*(1+Assumptions!$B$62)/12</f>
        <v/>
      </c>
      <c r="F24" s="7">
        <f>(Assumptions!$B$59+Assumptions!$B$60+Assumptions!$B$61)*(1+Assumptions!$B$62)/12</f>
        <v/>
      </c>
      <c r="G24" s="7">
        <f>(Assumptions!$B$59+Assumptions!$B$60+Assumptions!$B$61)*(1+Assumptions!$B$62)/12</f>
        <v/>
      </c>
      <c r="H24" s="7">
        <f>(Assumptions!$B$59+Assumptions!$B$60+Assumptions!$B$61)*(1+Assumptions!$B$62)/12</f>
        <v/>
      </c>
      <c r="I24" s="7">
        <f>(Assumptions!$B$59+Assumptions!$B$60+Assumptions!$B$61)*(1+Assumptions!$B$62)/12</f>
        <v/>
      </c>
      <c r="J24" s="7">
        <f>(Assumptions!$B$59+Assumptions!$B$60+Assumptions!$B$61)*(1+Assumptions!$B$62)/12</f>
        <v/>
      </c>
      <c r="K24" s="7">
        <f>(Assumptions!$B$59+Assumptions!$B$60+Assumptions!$B$61)*(1+Assumptions!$B$62)/12</f>
        <v/>
      </c>
      <c r="L24" s="7">
        <f>(Assumptions!$B$59+Assumptions!$B$60+Assumptions!$B$61)*(1+Assumptions!$B$62)/12</f>
        <v/>
      </c>
      <c r="M24" s="7">
        <f>(Assumptions!$B$59+Assumptions!$B$60+Assumptions!$B$61)*(1+Assumptions!$B$62)/12</f>
        <v/>
      </c>
      <c r="N24" s="8">
        <f>SUM(B24:M24)</f>
        <v/>
      </c>
    </row>
    <row r="25">
      <c r="A25" s="33" t="inlineStr">
        <is>
          <t>Marketing &amp; Trade</t>
        </is>
      </c>
      <c r="B25" s="7">
        <f>B12*Assumptions!$B$66</f>
        <v/>
      </c>
      <c r="C25" s="7">
        <f>B12*Assumptions!$B$66</f>
        <v/>
      </c>
      <c r="D25" s="7">
        <f>B12*Assumptions!$B$66</f>
        <v/>
      </c>
      <c r="E25" s="7">
        <f>B12*Assumptions!$B$66</f>
        <v/>
      </c>
      <c r="F25" s="7">
        <f>B12*Assumptions!$B$66</f>
        <v/>
      </c>
      <c r="G25" s="7">
        <f>B12*Assumptions!$B$66</f>
        <v/>
      </c>
      <c r="H25" s="7">
        <f>B12*Assumptions!$B$66</f>
        <v/>
      </c>
      <c r="I25" s="7">
        <f>B12*Assumptions!$B$66</f>
        <v/>
      </c>
      <c r="J25" s="7">
        <f>B12*Assumptions!$B$66</f>
        <v/>
      </c>
      <c r="K25" s="7">
        <f>B12*Assumptions!$B$66</f>
        <v/>
      </c>
      <c r="L25" s="7">
        <f>B12*Assumptions!$B$66</f>
        <v/>
      </c>
      <c r="M25" s="7">
        <f>B12*Assumptions!$B$66</f>
        <v/>
      </c>
      <c r="N25" s="8">
        <f>SUM(B25:M25)</f>
        <v/>
      </c>
    </row>
    <row r="26">
      <c r="A26" s="33" t="inlineStr">
        <is>
          <t>G&amp;A</t>
        </is>
      </c>
      <c r="B26" s="7">
        <f>Assumptions!$B$67</f>
        <v/>
      </c>
      <c r="C26" s="7">
        <f>Assumptions!$B$67</f>
        <v/>
      </c>
      <c r="D26" s="7">
        <f>Assumptions!$B$67</f>
        <v/>
      </c>
      <c r="E26" s="7">
        <f>Assumptions!$B$67</f>
        <v/>
      </c>
      <c r="F26" s="7">
        <f>Assumptions!$B$67</f>
        <v/>
      </c>
      <c r="G26" s="7">
        <f>Assumptions!$B$67</f>
        <v/>
      </c>
      <c r="H26" s="7">
        <f>Assumptions!$B$67</f>
        <v/>
      </c>
      <c r="I26" s="7">
        <f>Assumptions!$B$67</f>
        <v/>
      </c>
      <c r="J26" s="7">
        <f>Assumptions!$B$67</f>
        <v/>
      </c>
      <c r="K26" s="7">
        <f>Assumptions!$B$67</f>
        <v/>
      </c>
      <c r="L26" s="7">
        <f>Assumptions!$B$67</f>
        <v/>
      </c>
      <c r="M26" s="7">
        <f>Assumptions!$B$67</f>
        <v/>
      </c>
      <c r="N26" s="8">
        <f>SUM(B26:M26)</f>
        <v/>
      </c>
    </row>
    <row r="27">
      <c r="A27" s="33" t="inlineStr">
        <is>
          <t>Quality/Lab Testing</t>
        </is>
      </c>
      <c r="B27" s="7">
        <f>Assumptions!$B$68/12</f>
        <v/>
      </c>
      <c r="C27" s="7">
        <f>Assumptions!$B$68/12</f>
        <v/>
      </c>
      <c r="D27" s="7">
        <f>Assumptions!$B$68/12</f>
        <v/>
      </c>
      <c r="E27" s="7">
        <f>Assumptions!$B$68/12</f>
        <v/>
      </c>
      <c r="F27" s="7">
        <f>Assumptions!$B$68/12</f>
        <v/>
      </c>
      <c r="G27" s="7">
        <f>Assumptions!$B$68/12</f>
        <v/>
      </c>
      <c r="H27" s="7">
        <f>Assumptions!$B$68/12</f>
        <v/>
      </c>
      <c r="I27" s="7">
        <f>Assumptions!$B$68/12</f>
        <v/>
      </c>
      <c r="J27" s="7">
        <f>Assumptions!$B$68/12</f>
        <v/>
      </c>
      <c r="K27" s="7">
        <f>Assumptions!$B$68/12</f>
        <v/>
      </c>
      <c r="L27" s="7">
        <f>Assumptions!$B$68/12</f>
        <v/>
      </c>
      <c r="M27" s="7">
        <f>Assumptions!$B$68/12</f>
        <v/>
      </c>
      <c r="N27" s="8">
        <f>SUM(B27:M27)</f>
        <v/>
      </c>
    </row>
    <row r="28">
      <c r="A28" s="33" t="inlineStr">
        <is>
          <t>Design/Labels (one-time)</t>
        </is>
      </c>
      <c r="B28" s="7">
        <f>Assumptions!$B$69</f>
        <v/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8">
        <f>SUM(B28:M28)</f>
        <v/>
      </c>
    </row>
    <row r="29">
      <c r="A29" s="33" t="inlineStr">
        <is>
          <t>Insurance</t>
        </is>
      </c>
      <c r="B29" s="7">
        <f>Assumptions!$B$70/12</f>
        <v/>
      </c>
      <c r="C29" s="7">
        <f>Assumptions!$B$70/12</f>
        <v/>
      </c>
      <c r="D29" s="7">
        <f>Assumptions!$B$70/12</f>
        <v/>
      </c>
      <c r="E29" s="7">
        <f>Assumptions!$B$70/12</f>
        <v/>
      </c>
      <c r="F29" s="7">
        <f>Assumptions!$B$70/12</f>
        <v/>
      </c>
      <c r="G29" s="7">
        <f>Assumptions!$B$70/12</f>
        <v/>
      </c>
      <c r="H29" s="7">
        <f>Assumptions!$B$70/12</f>
        <v/>
      </c>
      <c r="I29" s="7">
        <f>Assumptions!$B$70/12</f>
        <v/>
      </c>
      <c r="J29" s="7">
        <f>Assumptions!$B$70/12</f>
        <v/>
      </c>
      <c r="K29" s="7">
        <f>Assumptions!$B$70/12</f>
        <v/>
      </c>
      <c r="L29" s="7">
        <f>Assumptions!$B$70/12</f>
        <v/>
      </c>
      <c r="M29" s="7">
        <f>Assumptions!$B$70/12</f>
        <v/>
      </c>
      <c r="N29" s="8">
        <f>SUM(B29:M29)</f>
        <v/>
      </c>
    </row>
    <row r="30">
      <c r="A30" s="33" t="inlineStr">
        <is>
          <t>Legal/Accounting</t>
        </is>
      </c>
      <c r="B30" s="7">
        <f>Assumptions!$B$71/12</f>
        <v/>
      </c>
      <c r="C30" s="7">
        <f>Assumptions!$B$71/12</f>
        <v/>
      </c>
      <c r="D30" s="7">
        <f>Assumptions!$B$71/12</f>
        <v/>
      </c>
      <c r="E30" s="7">
        <f>Assumptions!$B$71/12</f>
        <v/>
      </c>
      <c r="F30" s="7">
        <f>Assumptions!$B$71/12</f>
        <v/>
      </c>
      <c r="G30" s="7">
        <f>Assumptions!$B$71/12</f>
        <v/>
      </c>
      <c r="H30" s="7">
        <f>Assumptions!$B$71/12</f>
        <v/>
      </c>
      <c r="I30" s="7">
        <f>Assumptions!$B$71/12</f>
        <v/>
      </c>
      <c r="J30" s="7">
        <f>Assumptions!$B$71/12</f>
        <v/>
      </c>
      <c r="K30" s="7">
        <f>Assumptions!$B$71/12</f>
        <v/>
      </c>
      <c r="L30" s="7">
        <f>Assumptions!$B$71/12</f>
        <v/>
      </c>
      <c r="M30" s="7">
        <f>Assumptions!$B$71/12</f>
        <v/>
      </c>
      <c r="N30" s="8">
        <f>SUM(B30:M30)</f>
        <v/>
      </c>
    </row>
    <row r="31">
      <c r="A31" s="33" t="inlineStr">
        <is>
          <t>Total OpEx</t>
        </is>
      </c>
      <c r="B31" s="8">
        <f>SUM(B24:B30)</f>
        <v/>
      </c>
      <c r="C31" s="8">
        <f>SUM(B24:B30)</f>
        <v/>
      </c>
      <c r="D31" s="8">
        <f>SUM(B24:B30)</f>
        <v/>
      </c>
      <c r="E31" s="8">
        <f>SUM(B24:B30)</f>
        <v/>
      </c>
      <c r="F31" s="8">
        <f>SUM(B24:B30)</f>
        <v/>
      </c>
      <c r="G31" s="8">
        <f>SUM(B24:B30)</f>
        <v/>
      </c>
      <c r="H31" s="8">
        <f>SUM(B24:B30)</f>
        <v/>
      </c>
      <c r="I31" s="8">
        <f>SUM(B24:B30)</f>
        <v/>
      </c>
      <c r="J31" s="8">
        <f>SUM(B24:B30)</f>
        <v/>
      </c>
      <c r="K31" s="8">
        <f>SUM(B24:B30)</f>
        <v/>
      </c>
      <c r="L31" s="8">
        <f>SUM(B24:B30)</f>
        <v/>
      </c>
      <c r="M31" s="8">
        <f>SUM(B24:B30)</f>
        <v/>
      </c>
      <c r="N31" s="8">
        <f>SUM(B31:M31)</f>
        <v/>
      </c>
    </row>
    <row r="33">
      <c r="A33" s="33" t="inlineStr">
        <is>
          <t>EBITDA</t>
        </is>
      </c>
      <c r="B33" s="8">
        <f>B20-B23</f>
        <v/>
      </c>
      <c r="C33" s="8">
        <f>B20-B23</f>
        <v/>
      </c>
      <c r="D33" s="8">
        <f>B20-B23</f>
        <v/>
      </c>
      <c r="E33" s="8">
        <f>B20-B23</f>
        <v/>
      </c>
      <c r="F33" s="8">
        <f>B20-B23</f>
        <v/>
      </c>
      <c r="G33" s="8">
        <f>B20-B23</f>
        <v/>
      </c>
      <c r="H33" s="8">
        <f>B20-B23</f>
        <v/>
      </c>
      <c r="I33" s="8">
        <f>B20-B23</f>
        <v/>
      </c>
      <c r="J33" s="8">
        <f>B20-B23</f>
        <v/>
      </c>
      <c r="K33" s="8">
        <f>B20-B23</f>
        <v/>
      </c>
      <c r="L33" s="8">
        <f>B20-B23</f>
        <v/>
      </c>
      <c r="M33" s="8">
        <f>B20-B23</f>
        <v/>
      </c>
      <c r="N33" s="8">
        <f>SUM(B33:M33)</f>
        <v/>
      </c>
    </row>
    <row r="34">
      <c r="A34" s="33" t="inlineStr">
        <is>
          <t>EBITDA Margin %</t>
        </is>
      </c>
      <c r="B34" s="9">
        <f>B33/B12</f>
        <v/>
      </c>
      <c r="C34" s="9">
        <f>B33/B12</f>
        <v/>
      </c>
      <c r="D34" s="9">
        <f>B33/B12</f>
        <v/>
      </c>
      <c r="E34" s="9">
        <f>B33/B12</f>
        <v/>
      </c>
      <c r="F34" s="9">
        <f>B33/B12</f>
        <v/>
      </c>
      <c r="G34" s="9">
        <f>B33/B12</f>
        <v/>
      </c>
      <c r="H34" s="9">
        <f>B33/B12</f>
        <v/>
      </c>
      <c r="I34" s="9">
        <f>B33/B12</f>
        <v/>
      </c>
      <c r="J34" s="9">
        <f>B33/B12</f>
        <v/>
      </c>
      <c r="K34" s="9">
        <f>B33/B12</f>
        <v/>
      </c>
      <c r="L34" s="9">
        <f>B33/B12</f>
        <v/>
      </c>
      <c r="M34" s="9">
        <f>B33/B12</f>
        <v/>
      </c>
      <c r="N34" s="10">
        <f>N33/N12</f>
        <v/>
      </c>
    </row>
    <row r="35">
      <c r="A35" s="33" t="inlineStr"/>
    </row>
    <row r="36">
      <c r="A36" s="33" t="inlineStr">
        <is>
          <t>Depreciation &amp; Amortization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8">
        <f>SUM(B36:M36)</f>
        <v/>
      </c>
    </row>
    <row r="37">
      <c r="A37" s="33" t="inlineStr">
        <is>
          <t>EBIT</t>
        </is>
      </c>
      <c r="B37" s="7">
        <f>B34-B36</f>
        <v/>
      </c>
      <c r="C37" s="7">
        <f>B34-B36</f>
        <v/>
      </c>
      <c r="D37" s="7">
        <f>B34-B36</f>
        <v/>
      </c>
      <c r="E37" s="7">
        <f>B34-B36</f>
        <v/>
      </c>
      <c r="F37" s="7">
        <f>B34-B36</f>
        <v/>
      </c>
      <c r="G37" s="7">
        <f>B34-B36</f>
        <v/>
      </c>
      <c r="H37" s="7">
        <f>B34-B36</f>
        <v/>
      </c>
      <c r="I37" s="7">
        <f>B34-B36</f>
        <v/>
      </c>
      <c r="J37" s="7">
        <f>B34-B36</f>
        <v/>
      </c>
      <c r="K37" s="7">
        <f>B34-B36</f>
        <v/>
      </c>
      <c r="L37" s="7">
        <f>B34-B36</f>
        <v/>
      </c>
      <c r="M37" s="7">
        <f>B34-B36</f>
        <v/>
      </c>
      <c r="N37" s="8">
        <f>SUM(B37:M37)</f>
        <v/>
      </c>
    </row>
    <row r="38">
      <c r="A38" s="33" t="inlineStr">
        <is>
          <t>Interest Expense</t>
        </is>
      </c>
      <c r="B38" s="7">
        <f>Assumptions!$B$83*Assumptions!$B$82/12</f>
        <v/>
      </c>
      <c r="C38" s="7">
        <f>Assumptions!$B$83*Assumptions!$B$82/12</f>
        <v/>
      </c>
      <c r="D38" s="7">
        <f>Assumptions!$B$83*Assumptions!$B$82/12</f>
        <v/>
      </c>
      <c r="E38" s="7">
        <f>Assumptions!$B$83*Assumptions!$B$82/12</f>
        <v/>
      </c>
      <c r="F38" s="7">
        <f>Assumptions!$B$83*Assumptions!$B$82/12</f>
        <v/>
      </c>
      <c r="G38" s="7">
        <f>Assumptions!$B$83*Assumptions!$B$82/12</f>
        <v/>
      </c>
      <c r="H38" s="7">
        <f>Assumptions!$B$83*Assumptions!$B$82/12</f>
        <v/>
      </c>
      <c r="I38" s="7">
        <f>Assumptions!$B$83*Assumptions!$B$82/12</f>
        <v/>
      </c>
      <c r="J38" s="7">
        <f>Assumptions!$B$83*Assumptions!$B$82/12</f>
        <v/>
      </c>
      <c r="K38" s="7">
        <f>Assumptions!$B$83*Assumptions!$B$82/12</f>
        <v/>
      </c>
      <c r="L38" s="7">
        <f>Assumptions!$B$83*Assumptions!$B$82/12</f>
        <v/>
      </c>
      <c r="M38" s="7">
        <f>Assumptions!$B$83*Assumptions!$B$82/12</f>
        <v/>
      </c>
      <c r="N38" s="8">
        <f>SUM(B38:M38)</f>
        <v/>
      </c>
    </row>
    <row r="39">
      <c r="A39" s="33" t="inlineStr">
        <is>
          <t>EBT</t>
        </is>
      </c>
      <c r="B39" s="7">
        <f>B37-B38</f>
        <v/>
      </c>
      <c r="C39" s="7">
        <f>B37-B38</f>
        <v/>
      </c>
      <c r="D39" s="7">
        <f>B37-B38</f>
        <v/>
      </c>
      <c r="E39" s="7">
        <f>B37-B38</f>
        <v/>
      </c>
      <c r="F39" s="7">
        <f>B37-B38</f>
        <v/>
      </c>
      <c r="G39" s="7">
        <f>B37-B38</f>
        <v/>
      </c>
      <c r="H39" s="7">
        <f>B37-B38</f>
        <v/>
      </c>
      <c r="I39" s="7">
        <f>B37-B38</f>
        <v/>
      </c>
      <c r="J39" s="7">
        <f>B37-B38</f>
        <v/>
      </c>
      <c r="K39" s="7">
        <f>B37-B38</f>
        <v/>
      </c>
      <c r="L39" s="7">
        <f>B37-B38</f>
        <v/>
      </c>
      <c r="M39" s="7">
        <f>B37-B38</f>
        <v/>
      </c>
      <c r="N39" s="8">
        <f>SUM(B39:M39)</f>
        <v/>
      </c>
    </row>
    <row r="40">
      <c r="A40" s="33" t="inlineStr">
        <is>
          <t>Taxes</t>
        </is>
      </c>
      <c r="B40" s="7">
        <f>IF(B39&gt;0,B39*Assumptions!$B$87,0)</f>
        <v/>
      </c>
      <c r="C40" s="7">
        <f>IF(B39&gt;0,B39*Assumptions!$B$87,0)</f>
        <v/>
      </c>
      <c r="D40" s="7">
        <f>IF(B39&gt;0,B39*Assumptions!$B$87,0)</f>
        <v/>
      </c>
      <c r="E40" s="7">
        <f>IF(B39&gt;0,B39*Assumptions!$B$87,0)</f>
        <v/>
      </c>
      <c r="F40" s="7">
        <f>IF(B39&gt;0,B39*Assumptions!$B$87,0)</f>
        <v/>
      </c>
      <c r="G40" s="7">
        <f>IF(B39&gt;0,B39*Assumptions!$B$87,0)</f>
        <v/>
      </c>
      <c r="H40" s="7">
        <f>IF(B39&gt;0,B39*Assumptions!$B$87,0)</f>
        <v/>
      </c>
      <c r="I40" s="7">
        <f>IF(B39&gt;0,B39*Assumptions!$B$87,0)</f>
        <v/>
      </c>
      <c r="J40" s="7">
        <f>IF(B39&gt;0,B39*Assumptions!$B$87,0)</f>
        <v/>
      </c>
      <c r="K40" s="7">
        <f>IF(B39&gt;0,B39*Assumptions!$B$87,0)</f>
        <v/>
      </c>
      <c r="L40" s="7">
        <f>IF(B39&gt;0,B39*Assumptions!$B$87,0)</f>
        <v/>
      </c>
      <c r="M40" s="7">
        <f>IF(B39&gt;0,B39*Assumptions!$B$87,0)</f>
        <v/>
      </c>
      <c r="N40" s="8">
        <f>SUM(B40:M40)</f>
        <v/>
      </c>
    </row>
    <row r="41">
      <c r="A41" s="36" t="inlineStr">
        <is>
          <t>NET INCOME</t>
        </is>
      </c>
      <c r="B41" s="37">
        <f>B39-B40</f>
        <v/>
      </c>
      <c r="C41" s="37">
        <f>B39-B40</f>
        <v/>
      </c>
      <c r="D41" s="37">
        <f>B39-B40</f>
        <v/>
      </c>
      <c r="E41" s="37">
        <f>B39-B40</f>
        <v/>
      </c>
      <c r="F41" s="37">
        <f>B39-B40</f>
        <v/>
      </c>
      <c r="G41" s="37">
        <f>B39-B40</f>
        <v/>
      </c>
      <c r="H41" s="37">
        <f>B39-B40</f>
        <v/>
      </c>
      <c r="I41" s="37">
        <f>B39-B40</f>
        <v/>
      </c>
      <c r="J41" s="37">
        <f>B39-B40</f>
        <v/>
      </c>
      <c r="K41" s="37">
        <f>B39-B40</f>
        <v/>
      </c>
      <c r="L41" s="37">
        <f>B39-B40</f>
        <v/>
      </c>
      <c r="M41" s="37">
        <f>B39-B40</f>
        <v/>
      </c>
      <c r="N41" s="37">
        <f>SUM(B41:M41)</f>
        <v/>
      </c>
    </row>
    <row r="42">
      <c r="A42" s="33" t="inlineStr">
        <is>
          <t>Net Margin %</t>
        </is>
      </c>
      <c r="B42" s="9">
        <f>B41/B12</f>
        <v/>
      </c>
      <c r="C42" s="9">
        <f>B41/B12</f>
        <v/>
      </c>
      <c r="D42" s="9">
        <f>B41/B12</f>
        <v/>
      </c>
      <c r="E42" s="9">
        <f>B41/B12</f>
        <v/>
      </c>
      <c r="F42" s="9">
        <f>B41/B12</f>
        <v/>
      </c>
      <c r="G42" s="9">
        <f>B41/B12</f>
        <v/>
      </c>
      <c r="H42" s="9">
        <f>B41/B12</f>
        <v/>
      </c>
      <c r="I42" s="9">
        <f>B41/B12</f>
        <v/>
      </c>
      <c r="J42" s="9">
        <f>B41/B12</f>
        <v/>
      </c>
      <c r="K42" s="9">
        <f>B41/B12</f>
        <v/>
      </c>
      <c r="L42" s="9">
        <f>B41/B12</f>
        <v/>
      </c>
      <c r="M42" s="9">
        <f>B41/B12</f>
        <v/>
      </c>
      <c r="N42" s="10">
        <f>N41/N12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9" t="inlineStr">
        <is>
          <t>DEEP DIVE BOTANICALS - YEARS 2-3 PROFIT &amp; LOSS (QUARTERLY)</t>
        </is>
      </c>
    </row>
    <row r="3">
      <c r="A3" s="32" t="inlineStr">
        <is>
          <t>Line Item</t>
        </is>
      </c>
      <c r="B3" s="3" t="inlineStr">
        <is>
          <t>Y2 Q1</t>
        </is>
      </c>
      <c r="C3" s="3" t="inlineStr">
        <is>
          <t>Y2 Q2</t>
        </is>
      </c>
      <c r="D3" s="3" t="inlineStr">
        <is>
          <t>Y2 Q3</t>
        </is>
      </c>
      <c r="E3" s="3" t="inlineStr">
        <is>
          <t>Y2 Q4</t>
        </is>
      </c>
      <c r="F3" s="3" t="inlineStr">
        <is>
          <t>Y2 Total</t>
        </is>
      </c>
      <c r="G3" s="3" t="inlineStr">
        <is>
          <t>Y3 Q1</t>
        </is>
      </c>
      <c r="H3" s="3" t="inlineStr">
        <is>
          <t>Y3 Q2</t>
        </is>
      </c>
      <c r="I3" s="3" t="inlineStr">
        <is>
          <t>Y3 Q3</t>
        </is>
      </c>
      <c r="J3" s="3" t="inlineStr">
        <is>
          <t>Y3 Q4</t>
        </is>
      </c>
      <c r="K3" s="3" t="inlineStr">
        <is>
          <t>Y3 Total</t>
        </is>
      </c>
    </row>
    <row r="4">
      <c r="A4" s="2" t="inlineStr">
        <is>
          <t>REVENUE</t>
        </is>
      </c>
    </row>
    <row r="5">
      <c r="A5" s="33" t="inlineStr">
        <is>
          <t>Units Sold</t>
        </is>
      </c>
      <c r="B5" s="5">
        <f>Assumptions!$B$39/4</f>
        <v/>
      </c>
      <c r="C5" s="5">
        <f>Assumptions!$B$39/4</f>
        <v/>
      </c>
      <c r="D5" s="5">
        <f>Assumptions!$B$39/4</f>
        <v/>
      </c>
      <c r="E5" s="5">
        <f>Assumptions!$B$39/4</f>
        <v/>
      </c>
      <c r="F5" s="6">
        <f>SUM(B5:E5)</f>
        <v/>
      </c>
      <c r="G5" s="5">
        <f>Assumptions!$B$40/4</f>
        <v/>
      </c>
      <c r="H5" s="5">
        <f>Assumptions!$B$40/4</f>
        <v/>
      </c>
      <c r="I5" s="5">
        <f>Assumptions!$B$40/4</f>
        <v/>
      </c>
      <c r="J5" s="5">
        <f>Assumptions!$B$40/4</f>
        <v/>
      </c>
      <c r="K5" s="6">
        <f>SUM(G5:J5)</f>
        <v/>
      </c>
    </row>
    <row r="6">
      <c r="A6" s="33" t="inlineStr">
        <is>
          <t>Revenue (ex-factory)</t>
        </is>
      </c>
      <c r="B6" s="7">
        <f>B5*Assumptions!$B$12</f>
        <v/>
      </c>
      <c r="C6" s="7">
        <f>B5*Assumptions!$B$12</f>
        <v/>
      </c>
      <c r="D6" s="7">
        <f>B5*Assumptions!$B$12</f>
        <v/>
      </c>
      <c r="E6" s="7">
        <f>B5*Assumptions!$B$12</f>
        <v/>
      </c>
      <c r="F6" s="8">
        <f>SUM(B6:E6)</f>
        <v/>
      </c>
      <c r="G6" s="7">
        <f>G5*Assumptions!$B$12</f>
        <v/>
      </c>
      <c r="H6" s="7">
        <f>G5*Assumptions!$B$12</f>
        <v/>
      </c>
      <c r="I6" s="7">
        <f>G5*Assumptions!$B$12</f>
        <v/>
      </c>
      <c r="J6" s="7">
        <f>G5*Assumptions!$B$12</f>
        <v/>
      </c>
      <c r="K6" s="8">
        <f>SUM(G6:J6)</f>
        <v/>
      </c>
    </row>
    <row r="7">
      <c r="A7" s="33" t="inlineStr"/>
    </row>
    <row r="8">
      <c r="A8" s="2" t="inlineStr">
        <is>
          <t>COST OF GOODS SOLD</t>
        </is>
      </c>
    </row>
    <row r="9">
      <c r="A9" s="33" t="inlineStr">
        <is>
          <t>COGS per unit</t>
        </is>
      </c>
      <c r="B9" s="34">
        <f>Assumptions!$B$27</f>
        <v/>
      </c>
      <c r="C9" s="34">
        <f>Assumptions!$B$27</f>
        <v/>
      </c>
      <c r="D9" s="34">
        <f>Assumptions!$B$27</f>
        <v/>
      </c>
      <c r="E9" s="34">
        <f>Assumptions!$B$27</f>
        <v/>
      </c>
      <c r="F9" s="35">
        <f>SUM(B9:E9)</f>
        <v/>
      </c>
      <c r="G9" s="34">
        <f>Assumptions!$B$27</f>
        <v/>
      </c>
      <c r="H9" s="34">
        <f>Assumptions!$B$27</f>
        <v/>
      </c>
      <c r="I9" s="34">
        <f>Assumptions!$B$27</f>
        <v/>
      </c>
      <c r="J9" s="34">
        <f>Assumptions!$B$27</f>
        <v/>
      </c>
      <c r="K9" s="35">
        <f>SUM(G9:J9)</f>
        <v/>
      </c>
    </row>
    <row r="10">
      <c r="A10" s="33" t="inlineStr">
        <is>
          <t>Total COGS</t>
        </is>
      </c>
      <c r="B10" s="7">
        <f>B8*B9</f>
        <v/>
      </c>
      <c r="C10" s="7">
        <f>B8*B9</f>
        <v/>
      </c>
      <c r="D10" s="7">
        <f>B8*B9</f>
        <v/>
      </c>
      <c r="E10" s="7">
        <f>B8*B9</f>
        <v/>
      </c>
      <c r="F10" s="8">
        <f>SUM(B10:E10)</f>
        <v/>
      </c>
      <c r="G10" s="7">
        <f>G8*G9</f>
        <v/>
      </c>
      <c r="H10" s="7">
        <f>G8*G9</f>
        <v/>
      </c>
      <c r="I10" s="7">
        <f>G8*G9</f>
        <v/>
      </c>
      <c r="J10" s="7">
        <f>G8*G9</f>
        <v/>
      </c>
      <c r="K10" s="8">
        <f>SUM(G10:J10)</f>
        <v/>
      </c>
    </row>
    <row r="11">
      <c r="A11" s="33" t="inlineStr">
        <is>
          <t>Gross Profit</t>
        </is>
      </c>
      <c r="B11" s="7">
        <f>B7-B10</f>
        <v/>
      </c>
      <c r="C11" s="7">
        <f>B7-B10</f>
        <v/>
      </c>
      <c r="D11" s="7">
        <f>B7-B10</f>
        <v/>
      </c>
      <c r="E11" s="7">
        <f>B7-B10</f>
        <v/>
      </c>
      <c r="F11" s="8">
        <f>SUM(B11:E11)</f>
        <v/>
      </c>
      <c r="G11" s="7">
        <f>G7-G10</f>
        <v/>
      </c>
      <c r="H11" s="7">
        <f>G7-G10</f>
        <v/>
      </c>
      <c r="I11" s="7">
        <f>G7-G10</f>
        <v/>
      </c>
      <c r="J11" s="7">
        <f>G7-G10</f>
        <v/>
      </c>
      <c r="K11" s="8">
        <f>SUM(G11:J11)</f>
        <v/>
      </c>
    </row>
    <row r="12">
      <c r="A12" s="33" t="inlineStr">
        <is>
          <t>Gross Margin %</t>
        </is>
      </c>
      <c r="B12" s="9">
        <f>B11/B8</f>
        <v/>
      </c>
      <c r="C12" s="9">
        <f>B11/B8</f>
        <v/>
      </c>
      <c r="D12" s="9">
        <f>B11/B8</f>
        <v/>
      </c>
      <c r="E12" s="9">
        <f>B11/B8</f>
        <v/>
      </c>
      <c r="F12" s="10">
        <f>SUM(B12:E12)</f>
        <v/>
      </c>
      <c r="G12" s="9">
        <f>G11/G8</f>
        <v/>
      </c>
      <c r="H12" s="9">
        <f>G11/G8</f>
        <v/>
      </c>
      <c r="I12" s="9">
        <f>G11/G8</f>
        <v/>
      </c>
      <c r="J12" s="9">
        <f>G11/G8</f>
        <v/>
      </c>
      <c r="K12" s="10">
        <f>SUM(G12:J12)</f>
        <v/>
      </c>
    </row>
    <row r="13">
      <c r="A13" s="33" t="inlineStr"/>
    </row>
    <row r="14">
      <c r="A14" s="2" t="inlineStr">
        <is>
          <t>OPERATING EXPENSES</t>
        </is>
      </c>
    </row>
    <row r="15">
      <c r="A15" s="33" t="inlineStr">
        <is>
          <t>Personnel Costs</t>
        </is>
      </c>
      <c r="B15" s="7">
        <f>(Assumptions!$B$59+Assumptions!$B$60+Assumptions!$B$61)*(1+Assumptions!$B$62)/4</f>
        <v/>
      </c>
      <c r="C15" s="7">
        <f>(Assumptions!$B$59+Assumptions!$B$60+Assumptions!$B$61)*(1+Assumptions!$B$62)/4</f>
        <v/>
      </c>
      <c r="D15" s="7">
        <f>(Assumptions!$B$59+Assumptions!$B$60+Assumptions!$B$61)*(1+Assumptions!$B$62)/4</f>
        <v/>
      </c>
      <c r="E15" s="7">
        <f>(Assumptions!$B$59+Assumptions!$B$60+Assumptions!$B$61)*(1+Assumptions!$B$62)/4</f>
        <v/>
      </c>
      <c r="F15" s="8">
        <f>SUM(B15:E15)</f>
        <v/>
      </c>
      <c r="G15" s="7">
        <f>(Assumptions!$B$59+Assumptions!$B$60+Assumptions!$B$61)*(1+Assumptions!$B$62)/4</f>
        <v/>
      </c>
      <c r="H15" s="7">
        <f>(Assumptions!$B$59+Assumptions!$B$60+Assumptions!$B$61)*(1+Assumptions!$B$62)/4</f>
        <v/>
      </c>
      <c r="I15" s="7">
        <f>(Assumptions!$B$59+Assumptions!$B$60+Assumptions!$B$61)*(1+Assumptions!$B$62)/4</f>
        <v/>
      </c>
      <c r="J15" s="7">
        <f>(Assumptions!$B$59+Assumptions!$B$60+Assumptions!$B$61)*(1+Assumptions!$B$62)/4</f>
        <v/>
      </c>
      <c r="K15" s="8">
        <f>SUM(G15:J15)</f>
        <v/>
      </c>
    </row>
    <row r="16">
      <c r="A16" s="33" t="inlineStr">
        <is>
          <t>Marketing &amp; Trade</t>
        </is>
      </c>
      <c r="B16" s="7">
        <f>B6*Assumptions!$B$66</f>
        <v/>
      </c>
      <c r="C16" s="7">
        <f>B6*Assumptions!$B$66</f>
        <v/>
      </c>
      <c r="D16" s="7">
        <f>B6*Assumptions!$B$66</f>
        <v/>
      </c>
      <c r="E16" s="7">
        <f>B6*Assumptions!$B$66</f>
        <v/>
      </c>
      <c r="F16" s="8">
        <f>SUM(B16:E16)</f>
        <v/>
      </c>
      <c r="G16" s="7">
        <f>G6*Assumptions!$B$66</f>
        <v/>
      </c>
      <c r="H16" s="7">
        <f>G6*Assumptions!$B$66</f>
        <v/>
      </c>
      <c r="I16" s="7">
        <f>G6*Assumptions!$B$66</f>
        <v/>
      </c>
      <c r="J16" s="7">
        <f>G6*Assumptions!$B$66</f>
        <v/>
      </c>
      <c r="K16" s="8">
        <f>SUM(G16:J16)</f>
        <v/>
      </c>
    </row>
    <row r="17">
      <c r="A17" s="33" t="inlineStr">
        <is>
          <t>G&amp;A</t>
        </is>
      </c>
      <c r="B17" s="7">
        <f>Assumptions!$B$67*3</f>
        <v/>
      </c>
      <c r="C17" s="7">
        <f>Assumptions!$B$67*3</f>
        <v/>
      </c>
      <c r="D17" s="7">
        <f>Assumptions!$B$67*3</f>
        <v/>
      </c>
      <c r="E17" s="7">
        <f>Assumptions!$B$67*3</f>
        <v/>
      </c>
      <c r="F17" s="8">
        <f>SUM(B17:E17)</f>
        <v/>
      </c>
      <c r="G17" s="7">
        <f>Assumptions!$B$67*3</f>
        <v/>
      </c>
      <c r="H17" s="7">
        <f>Assumptions!$B$67*3</f>
        <v/>
      </c>
      <c r="I17" s="7">
        <f>Assumptions!$B$67*3</f>
        <v/>
      </c>
      <c r="J17" s="7">
        <f>Assumptions!$B$67*3</f>
        <v/>
      </c>
      <c r="K17" s="8">
        <f>SUM(G17:J17)</f>
        <v/>
      </c>
    </row>
    <row r="18">
      <c r="A18" s="33" t="inlineStr">
        <is>
          <t>Other OpEx</t>
        </is>
      </c>
      <c r="B18" s="7">
        <f>(Assumptions!$B$68+Assumptions!$B$70+Assumptions!$B$71)/4</f>
        <v/>
      </c>
      <c r="C18" s="7">
        <f>(Assumptions!$B$68+Assumptions!$B$70+Assumptions!$B$71)/4</f>
        <v/>
      </c>
      <c r="D18" s="7">
        <f>(Assumptions!$B$68+Assumptions!$B$70+Assumptions!$B$71)/4</f>
        <v/>
      </c>
      <c r="E18" s="7">
        <f>(Assumptions!$B$68+Assumptions!$B$70+Assumptions!$B$71)/4</f>
        <v/>
      </c>
      <c r="F18" s="8">
        <f>SUM(B18:E18)</f>
        <v/>
      </c>
      <c r="G18" s="7">
        <f>(Assumptions!$B$68+Assumptions!$B$70+Assumptions!$B$71)/4</f>
        <v/>
      </c>
      <c r="H18" s="7">
        <f>(Assumptions!$B$68+Assumptions!$B$70+Assumptions!$B$71)/4</f>
        <v/>
      </c>
      <c r="I18" s="7">
        <f>(Assumptions!$B$68+Assumptions!$B$70+Assumptions!$B$71)/4</f>
        <v/>
      </c>
      <c r="J18" s="7">
        <f>(Assumptions!$B$68+Assumptions!$B$70+Assumptions!$B$71)/4</f>
        <v/>
      </c>
      <c r="K18" s="8">
        <f>SUM(G18:J18)</f>
        <v/>
      </c>
    </row>
    <row r="19">
      <c r="A19" s="33" t="inlineStr">
        <is>
          <t>Total OpEx</t>
        </is>
      </c>
      <c r="B19" s="7">
        <f>SUM(B15:B18)</f>
        <v/>
      </c>
      <c r="C19" s="7">
        <f>SUM(B15:B18)</f>
        <v/>
      </c>
      <c r="D19" s="7">
        <f>SUM(B15:B18)</f>
        <v/>
      </c>
      <c r="E19" s="7">
        <f>SUM(B15:B18)</f>
        <v/>
      </c>
      <c r="F19" s="8">
        <f>SUM(B19:E19)</f>
        <v/>
      </c>
      <c r="G19" s="7">
        <f>SUM(G15:G18)</f>
        <v/>
      </c>
      <c r="H19" s="7">
        <f>SUM(G15:G18)</f>
        <v/>
      </c>
      <c r="I19" s="7">
        <f>SUM(G15:G18)</f>
        <v/>
      </c>
      <c r="J19" s="7">
        <f>SUM(G15:G18)</f>
        <v/>
      </c>
      <c r="K19" s="8">
        <f>SUM(G19:J19)</f>
        <v/>
      </c>
    </row>
    <row r="20">
      <c r="A20" s="33" t="inlineStr"/>
    </row>
    <row r="21">
      <c r="A21" s="33" t="inlineStr">
        <is>
          <t>EBITDA</t>
        </is>
      </c>
      <c r="B21" s="7">
        <f>B10-B20</f>
        <v/>
      </c>
      <c r="C21" s="7">
        <f>B10-B20</f>
        <v/>
      </c>
      <c r="D21" s="7">
        <f>B10-B20</f>
        <v/>
      </c>
      <c r="E21" s="7">
        <f>B10-B20</f>
        <v/>
      </c>
      <c r="F21" s="8">
        <f>SUM(B21:E21)</f>
        <v/>
      </c>
      <c r="G21" s="7">
        <f>G10-G20</f>
        <v/>
      </c>
      <c r="H21" s="7">
        <f>G10-G20</f>
        <v/>
      </c>
      <c r="I21" s="7">
        <f>G10-G20</f>
        <v/>
      </c>
      <c r="J21" s="7">
        <f>G10-G20</f>
        <v/>
      </c>
      <c r="K21" s="8">
        <f>SUM(G21:J21)</f>
        <v/>
      </c>
    </row>
    <row r="22">
      <c r="A22" s="33" t="inlineStr">
        <is>
          <t>EBITDA Margin %</t>
        </is>
      </c>
      <c r="B22" s="9">
        <f>B21/B9</f>
        <v/>
      </c>
      <c r="C22" s="9">
        <f>B21/B9</f>
        <v/>
      </c>
      <c r="D22" s="9">
        <f>B21/B9</f>
        <v/>
      </c>
      <c r="E22" s="9">
        <f>B21/B9</f>
        <v/>
      </c>
      <c r="F22" s="10">
        <f>SUM(B22:E22)</f>
        <v/>
      </c>
      <c r="G22" s="9">
        <f>G21/G9</f>
        <v/>
      </c>
      <c r="H22" s="9">
        <f>G21/G9</f>
        <v/>
      </c>
      <c r="I22" s="9">
        <f>G21/G9</f>
        <v/>
      </c>
      <c r="J22" s="9">
        <f>G21/G9</f>
        <v/>
      </c>
      <c r="K22" s="10">
        <f>SUM(G22:J22)</f>
        <v/>
      </c>
    </row>
    <row r="23">
      <c r="A23" s="33" t="inlineStr"/>
    </row>
    <row r="24">
      <c r="A24" s="33" t="inlineStr">
        <is>
          <t>Depreciation &amp; Amortization</t>
        </is>
      </c>
      <c r="B24" s="7" t="n">
        <v>500</v>
      </c>
      <c r="C24" s="7" t="n">
        <v>500</v>
      </c>
      <c r="D24" s="7" t="n">
        <v>500</v>
      </c>
      <c r="E24" s="7" t="n">
        <v>500</v>
      </c>
      <c r="F24" s="8">
        <f>SUM(B24:E24)</f>
        <v/>
      </c>
      <c r="G24" s="7" t="n">
        <v>500</v>
      </c>
      <c r="H24" s="7" t="n">
        <v>500</v>
      </c>
      <c r="I24" s="7" t="n">
        <v>500</v>
      </c>
      <c r="J24" s="7" t="n">
        <v>500</v>
      </c>
      <c r="K24" s="8">
        <f>SUM(G24:J24)</f>
        <v/>
      </c>
    </row>
    <row r="25">
      <c r="A25" s="33" t="inlineStr">
        <is>
          <t>EBIT</t>
        </is>
      </c>
      <c r="B25" s="7">
        <f>B22-B24</f>
        <v/>
      </c>
      <c r="C25" s="7">
        <f>B22-B24</f>
        <v/>
      </c>
      <c r="D25" s="7">
        <f>B22-B24</f>
        <v/>
      </c>
      <c r="E25" s="7">
        <f>B22-B24</f>
        <v/>
      </c>
      <c r="F25" s="8">
        <f>SUM(B25:E25)</f>
        <v/>
      </c>
      <c r="G25" s="7">
        <f>G22-G24</f>
        <v/>
      </c>
      <c r="H25" s="7">
        <f>G22-G24</f>
        <v/>
      </c>
      <c r="I25" s="7">
        <f>G22-G24</f>
        <v/>
      </c>
      <c r="J25" s="7">
        <f>G22-G24</f>
        <v/>
      </c>
      <c r="K25" s="8">
        <f>SUM(G25:J25)</f>
        <v/>
      </c>
    </row>
    <row r="26">
      <c r="A26" s="33" t="inlineStr">
        <is>
          <t>Interest Expense</t>
        </is>
      </c>
      <c r="B26" s="7">
        <f>Assumptions!$B$83*Assumptions!$B$82/4</f>
        <v/>
      </c>
      <c r="C26" s="7">
        <f>Assumptions!$B$83*Assumptions!$B$82/4</f>
        <v/>
      </c>
      <c r="D26" s="7">
        <f>Assumptions!$B$83*Assumptions!$B$82/4</f>
        <v/>
      </c>
      <c r="E26" s="7">
        <f>Assumptions!$B$83*Assumptions!$B$82/4</f>
        <v/>
      </c>
      <c r="F26" s="8">
        <f>SUM(B26:E26)</f>
        <v/>
      </c>
      <c r="G26" s="7">
        <f>Assumptions!$B$83*Assumptions!$B$82/4</f>
        <v/>
      </c>
      <c r="H26" s="7">
        <f>Assumptions!$B$83*Assumptions!$B$82/4</f>
        <v/>
      </c>
      <c r="I26" s="7">
        <f>Assumptions!$B$83*Assumptions!$B$82/4</f>
        <v/>
      </c>
      <c r="J26" s="7">
        <f>Assumptions!$B$83*Assumptions!$B$82/4</f>
        <v/>
      </c>
      <c r="K26" s="8">
        <f>SUM(G26:J26)</f>
        <v/>
      </c>
    </row>
    <row r="27">
      <c r="A27" s="33" t="inlineStr">
        <is>
          <t>EBT</t>
        </is>
      </c>
      <c r="B27" s="7">
        <f>B25-B26</f>
        <v/>
      </c>
      <c r="C27" s="7">
        <f>B25-B26</f>
        <v/>
      </c>
      <c r="D27" s="7">
        <f>B25-B26</f>
        <v/>
      </c>
      <c r="E27" s="7">
        <f>B25-B26</f>
        <v/>
      </c>
      <c r="F27" s="8">
        <f>SUM(B27:E27)</f>
        <v/>
      </c>
      <c r="G27" s="7">
        <f>G25-G26</f>
        <v/>
      </c>
      <c r="H27" s="7">
        <f>G25-G26</f>
        <v/>
      </c>
      <c r="I27" s="7">
        <f>G25-G26</f>
        <v/>
      </c>
      <c r="J27" s="7">
        <f>G25-G26</f>
        <v/>
      </c>
      <c r="K27" s="8">
        <f>SUM(G27:J27)</f>
        <v/>
      </c>
    </row>
    <row r="28">
      <c r="A28" s="33" t="inlineStr">
        <is>
          <t>Taxes</t>
        </is>
      </c>
      <c r="B28" s="7">
        <f>IF(B27&gt;0,B27*Assumptions!$B$87,0)</f>
        <v/>
      </c>
      <c r="C28" s="7">
        <f>IF(B27&gt;0,B27*Assumptions!$B$87,0)</f>
        <v/>
      </c>
      <c r="D28" s="7">
        <f>IF(B27&gt;0,B27*Assumptions!$B$87,0)</f>
        <v/>
      </c>
      <c r="E28" s="7">
        <f>IF(B27&gt;0,B27*Assumptions!$B$87,0)</f>
        <v/>
      </c>
      <c r="F28" s="8">
        <f>SUM(B28:E28)</f>
        <v/>
      </c>
      <c r="G28" s="7">
        <f>IF(G27&gt;0,G27*Assumptions!$B$87,0)</f>
        <v/>
      </c>
      <c r="H28" s="7">
        <f>IF(G27&gt;0,G27*Assumptions!$B$87,0)</f>
        <v/>
      </c>
      <c r="I28" s="7">
        <f>IF(G27&gt;0,G27*Assumptions!$B$87,0)</f>
        <v/>
      </c>
      <c r="J28" s="7">
        <f>IF(G27&gt;0,G27*Assumptions!$B$87,0)</f>
        <v/>
      </c>
      <c r="K28" s="8">
        <f>SUM(G28:J28)</f>
        <v/>
      </c>
    </row>
    <row r="29">
      <c r="A29" s="36" t="inlineStr">
        <is>
          <t>NET INCOME</t>
        </is>
      </c>
      <c r="B29" s="38">
        <f>B27-B28</f>
        <v/>
      </c>
      <c r="C29" s="38">
        <f>B27-B28</f>
        <v/>
      </c>
      <c r="D29" s="38">
        <f>B27-B28</f>
        <v/>
      </c>
      <c r="E29" s="38">
        <f>B27-B28</f>
        <v/>
      </c>
      <c r="F29" s="8">
        <f>SUM(B29:E29)</f>
        <v/>
      </c>
      <c r="G29" s="38">
        <f>G27-G28</f>
        <v/>
      </c>
      <c r="H29" s="38">
        <f>G27-G28</f>
        <v/>
      </c>
      <c r="I29" s="38">
        <f>G27-G28</f>
        <v/>
      </c>
      <c r="J29" s="38">
        <f>G27-G28</f>
        <v/>
      </c>
      <c r="K29" s="8">
        <f>SUM(G29:J29)</f>
        <v/>
      </c>
    </row>
    <row r="30">
      <c r="A30" s="33" t="inlineStr">
        <is>
          <t>Net Margin %</t>
        </is>
      </c>
      <c r="B30" s="9">
        <f>B29/B6</f>
        <v/>
      </c>
      <c r="C30" s="9">
        <f>B29/B6</f>
        <v/>
      </c>
      <c r="D30" s="9">
        <f>B29/B6</f>
        <v/>
      </c>
      <c r="E30" s="9">
        <f>B29/B6</f>
        <v/>
      </c>
      <c r="F30" s="10">
        <f>SUM(B30:E30)</f>
        <v/>
      </c>
      <c r="G30" s="9">
        <f>G29/G6</f>
        <v/>
      </c>
      <c r="H30" s="9">
        <f>G29/G6</f>
        <v/>
      </c>
      <c r="I30" s="9">
        <f>G29/G6</f>
        <v/>
      </c>
      <c r="J30" s="9">
        <f>G29/G6</f>
        <v/>
      </c>
      <c r="K30" s="10">
        <f>SUM(G30:J30)</f>
        <v/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9" t="inlineStr">
        <is>
          <t>DEEP DIVE BOTANICALS - CASH FLOW STATEMENT</t>
        </is>
      </c>
    </row>
    <row r="3">
      <c r="A3" s="32" t="inlineStr">
        <is>
          <t>Cash Flow Item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Apr</t>
        </is>
      </c>
      <c r="F3" s="3" t="inlineStr">
        <is>
          <t>May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Aug</t>
        </is>
      </c>
      <c r="J3" s="3" t="inlineStr">
        <is>
          <t>Sep</t>
        </is>
      </c>
      <c r="K3" s="3" t="inlineStr">
        <is>
          <t>Oct</t>
        </is>
      </c>
      <c r="L3" s="3" t="inlineStr">
        <is>
          <t>Nov</t>
        </is>
      </c>
      <c r="M3" s="3" t="inlineStr">
        <is>
          <t>Dec</t>
        </is>
      </c>
      <c r="N3" s="39" t="inlineStr">
        <is>
          <t>Year 1 Total</t>
        </is>
      </c>
    </row>
    <row r="4">
      <c r="A4" s="40" t="inlineStr">
        <is>
          <t>OPERATING ACTIVITIES</t>
        </is>
      </c>
    </row>
    <row r="5">
      <c r="A5" s="33" t="inlineStr">
        <is>
          <t>Net Income</t>
        </is>
      </c>
      <c r="B5" s="7">
        <f>'P&amp;L Year 1 (Monthly)'!B39</f>
        <v/>
      </c>
      <c r="C5" s="7">
        <f>'P&amp;L Year 1 (Monthly)'!C39</f>
        <v/>
      </c>
      <c r="D5" s="7">
        <f>'P&amp;L Year 1 (Monthly)'!D39</f>
        <v/>
      </c>
      <c r="E5" s="7">
        <f>'P&amp;L Year 1 (Monthly)'!E39</f>
        <v/>
      </c>
      <c r="F5" s="7">
        <f>'P&amp;L Year 1 (Monthly)'!F39</f>
        <v/>
      </c>
      <c r="G5" s="7">
        <f>'P&amp;L Year 1 (Monthly)'!G39</f>
        <v/>
      </c>
      <c r="H5" s="7">
        <f>'P&amp;L Year 1 (Monthly)'!H39</f>
        <v/>
      </c>
      <c r="I5" s="7">
        <f>'P&amp;L Year 1 (Monthly)'!I39</f>
        <v/>
      </c>
      <c r="J5" s="7">
        <f>'P&amp;L Year 1 (Monthly)'!J39</f>
        <v/>
      </c>
      <c r="K5" s="7">
        <f>'P&amp;L Year 1 (Monthly)'!K39</f>
        <v/>
      </c>
      <c r="L5" s="7">
        <f>'P&amp;L Year 1 (Monthly)'!L39</f>
        <v/>
      </c>
      <c r="M5" s="7">
        <f>'P&amp;L Year 1 (Monthly)'!M39</f>
        <v/>
      </c>
      <c r="N5" s="8">
        <f>SUM(B5:M5)</f>
        <v/>
      </c>
    </row>
    <row r="6">
      <c r="A6" s="33" t="inlineStr">
        <is>
          <t>Add: Depreciation &amp; Amortization</t>
        </is>
      </c>
      <c r="B6" s="7">
        <f>'P&amp;L Year 1 (Monthly)'!B33</f>
        <v/>
      </c>
      <c r="C6" s="7">
        <f>'P&amp;L Year 1 (Monthly)'!C33</f>
        <v/>
      </c>
      <c r="D6" s="7">
        <f>'P&amp;L Year 1 (Monthly)'!D33</f>
        <v/>
      </c>
      <c r="E6" s="7">
        <f>'P&amp;L Year 1 (Monthly)'!E33</f>
        <v/>
      </c>
      <c r="F6" s="7">
        <f>'P&amp;L Year 1 (Monthly)'!F33</f>
        <v/>
      </c>
      <c r="G6" s="7">
        <f>'P&amp;L Year 1 (Monthly)'!G33</f>
        <v/>
      </c>
      <c r="H6" s="7">
        <f>'P&amp;L Year 1 (Monthly)'!H33</f>
        <v/>
      </c>
      <c r="I6" s="7">
        <f>'P&amp;L Year 1 (Monthly)'!I33</f>
        <v/>
      </c>
      <c r="J6" s="7">
        <f>'P&amp;L Year 1 (Monthly)'!J33</f>
        <v/>
      </c>
      <c r="K6" s="7">
        <f>'P&amp;L Year 1 (Monthly)'!K33</f>
        <v/>
      </c>
      <c r="L6" s="7">
        <f>'P&amp;L Year 1 (Monthly)'!L33</f>
        <v/>
      </c>
      <c r="M6" s="7">
        <f>'P&amp;L Year 1 (Monthly)'!M33</f>
        <v/>
      </c>
      <c r="N6" s="8">
        <f>SUM(B6:M6)</f>
        <v/>
      </c>
    </row>
    <row r="7">
      <c r="A7" s="33" t="inlineStr">
        <is>
          <t>Changes in Working Capital:</t>
        </is>
      </c>
    </row>
    <row r="8">
      <c r="A8" s="33" t="inlineStr">
        <is>
          <t xml:space="preserve">  Accounts Receivable</t>
        </is>
      </c>
      <c r="B8" s="7">
        <f>-('P&amp;L Year 1 (Monthly)'!B12*45/30)</f>
        <v/>
      </c>
      <c r="C8" s="7">
        <f>-('P&amp;L Year 1 (Monthly)'!C12*45/30)</f>
        <v/>
      </c>
      <c r="D8" s="7">
        <f>-('P&amp;L Year 1 (Monthly)'!D12*45/30)</f>
        <v/>
      </c>
      <c r="E8" s="7">
        <f>-('P&amp;L Year 1 (Monthly)'!E12*45/30)</f>
        <v/>
      </c>
      <c r="F8" s="7">
        <f>-('P&amp;L Year 1 (Monthly)'!F12*45/30)</f>
        <v/>
      </c>
      <c r="G8" s="7">
        <f>-('P&amp;L Year 1 (Monthly)'!G12*45/30)</f>
        <v/>
      </c>
      <c r="H8" s="7">
        <f>-('P&amp;L Year 1 (Monthly)'!H12*45/30)</f>
        <v/>
      </c>
      <c r="I8" s="7">
        <f>-('P&amp;L Year 1 (Monthly)'!I12*45/30)</f>
        <v/>
      </c>
      <c r="J8" s="7">
        <f>-('P&amp;L Year 1 (Monthly)'!J12*45/30)</f>
        <v/>
      </c>
      <c r="K8" s="7">
        <f>-('P&amp;L Year 1 (Monthly)'!K12*45/30)</f>
        <v/>
      </c>
      <c r="L8" s="7">
        <f>-('P&amp;L Year 1 (Monthly)'!L12*45/30)</f>
        <v/>
      </c>
      <c r="M8" s="7">
        <f>-('P&amp;L Year 1 (Monthly)'!M12*45/30)</f>
        <v/>
      </c>
      <c r="N8" s="8">
        <f>SUM(B8:M8)</f>
        <v/>
      </c>
    </row>
    <row r="9">
      <c r="A9" s="33" t="inlineStr">
        <is>
          <t xml:space="preserve">  Inventory</t>
        </is>
      </c>
      <c r="B9" s="7">
        <f>-('P&amp;L Year 1 (Monthly)'!B18*30/30)</f>
        <v/>
      </c>
      <c r="C9" s="7">
        <f>-('P&amp;L Year 1 (Monthly)'!C18*30/30)</f>
        <v/>
      </c>
      <c r="D9" s="7">
        <f>-('P&amp;L Year 1 (Monthly)'!D18*30/30)</f>
        <v/>
      </c>
      <c r="E9" s="7">
        <f>-('P&amp;L Year 1 (Monthly)'!E18*30/30)</f>
        <v/>
      </c>
      <c r="F9" s="7">
        <f>-('P&amp;L Year 1 (Monthly)'!F18*30/30)</f>
        <v/>
      </c>
      <c r="G9" s="7">
        <f>-('P&amp;L Year 1 (Monthly)'!G18*30/30)</f>
        <v/>
      </c>
      <c r="H9" s="7">
        <f>-('P&amp;L Year 1 (Monthly)'!H18*30/30)</f>
        <v/>
      </c>
      <c r="I9" s="7">
        <f>-('P&amp;L Year 1 (Monthly)'!I18*30/30)</f>
        <v/>
      </c>
      <c r="J9" s="7">
        <f>-('P&amp;L Year 1 (Monthly)'!J18*30/30)</f>
        <v/>
      </c>
      <c r="K9" s="7">
        <f>-('P&amp;L Year 1 (Monthly)'!K18*30/30)</f>
        <v/>
      </c>
      <c r="L9" s="7">
        <f>-('P&amp;L Year 1 (Monthly)'!L18*30/30)</f>
        <v/>
      </c>
      <c r="M9" s="7">
        <f>-('P&amp;L Year 1 (Monthly)'!M18*30/30)</f>
        <v/>
      </c>
      <c r="N9" s="8">
        <f>SUM(B9:M9)</f>
        <v/>
      </c>
    </row>
    <row r="10">
      <c r="A10" s="33" t="inlineStr">
        <is>
          <t xml:space="preserve">  Accounts Payable</t>
        </is>
      </c>
      <c r="B10" s="7">
        <f>('P&amp;L Year 1 (Monthly)'!B18*30/30)</f>
        <v/>
      </c>
      <c r="C10" s="7">
        <f>('P&amp;L Year 1 (Monthly)'!C18*30/30)</f>
        <v/>
      </c>
      <c r="D10" s="7">
        <f>('P&amp;L Year 1 (Monthly)'!D18*30/30)</f>
        <v/>
      </c>
      <c r="E10" s="7">
        <f>('P&amp;L Year 1 (Monthly)'!E18*30/30)</f>
        <v/>
      </c>
      <c r="F10" s="7">
        <f>('P&amp;L Year 1 (Monthly)'!F18*30/30)</f>
        <v/>
      </c>
      <c r="G10" s="7">
        <f>('P&amp;L Year 1 (Monthly)'!G18*30/30)</f>
        <v/>
      </c>
      <c r="H10" s="7">
        <f>('P&amp;L Year 1 (Monthly)'!H18*30/30)</f>
        <v/>
      </c>
      <c r="I10" s="7">
        <f>('P&amp;L Year 1 (Monthly)'!I18*30/30)</f>
        <v/>
      </c>
      <c r="J10" s="7">
        <f>('P&amp;L Year 1 (Monthly)'!J18*30/30)</f>
        <v/>
      </c>
      <c r="K10" s="7">
        <f>('P&amp;L Year 1 (Monthly)'!K18*30/30)</f>
        <v/>
      </c>
      <c r="L10" s="7">
        <f>('P&amp;L Year 1 (Monthly)'!L18*30/30)</f>
        <v/>
      </c>
      <c r="M10" s="7">
        <f>('P&amp;L Year 1 (Monthly)'!M18*30/30)</f>
        <v/>
      </c>
      <c r="N10" s="8">
        <f>SUM(B10:M10)</f>
        <v/>
      </c>
    </row>
    <row r="11">
      <c r="A11" s="33" t="inlineStr">
        <is>
          <t>Cash from Operations</t>
        </is>
      </c>
      <c r="B11" s="8">
        <f>SUM(B5:B10)</f>
        <v/>
      </c>
      <c r="C11" s="8">
        <f>SUM(C5:C10)</f>
        <v/>
      </c>
      <c r="D11" s="8">
        <f>SUM(D5:D10)</f>
        <v/>
      </c>
      <c r="E11" s="8">
        <f>SUM(E5:E10)</f>
        <v/>
      </c>
      <c r="F11" s="8">
        <f>SUM(F5:F10)</f>
        <v/>
      </c>
      <c r="G11" s="8">
        <f>SUM(G5:G10)</f>
        <v/>
      </c>
      <c r="H11" s="8">
        <f>SUM(H5:H10)</f>
        <v/>
      </c>
      <c r="I11" s="8">
        <f>SUM(I5:I10)</f>
        <v/>
      </c>
      <c r="J11" s="8">
        <f>SUM(J5:J10)</f>
        <v/>
      </c>
      <c r="K11" s="8">
        <f>SUM(K5:K10)</f>
        <v/>
      </c>
      <c r="L11" s="8">
        <f>SUM(L5:L10)</f>
        <v/>
      </c>
      <c r="M11" s="8">
        <f>SUM(M5:M10)</f>
        <v/>
      </c>
      <c r="N11" s="8">
        <f>SUM(B11:M11)</f>
        <v/>
      </c>
    </row>
    <row r="12">
      <c r="A12" s="33" t="inlineStr"/>
    </row>
    <row r="13">
      <c r="A13" s="40" t="inlineStr">
        <is>
          <t>INVESTING ACTIVITIES</t>
        </is>
      </c>
    </row>
    <row r="14">
      <c r="A14" s="33" t="inlineStr">
        <is>
          <t>CapEx</t>
        </is>
      </c>
      <c r="B14" s="7" t="n">
        <v>-1000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8">
        <f>SUM(B14:M14)</f>
        <v/>
      </c>
    </row>
    <row r="15">
      <c r="A15" s="33" t="inlineStr">
        <is>
          <t>Cash from Investing</t>
        </is>
      </c>
      <c r="B15" s="8">
        <f>B14</f>
        <v/>
      </c>
      <c r="C15" s="8">
        <f>C14</f>
        <v/>
      </c>
      <c r="D15" s="8">
        <f>D14</f>
        <v/>
      </c>
      <c r="E15" s="8">
        <f>E14</f>
        <v/>
      </c>
      <c r="F15" s="8">
        <f>F14</f>
        <v/>
      </c>
      <c r="G15" s="8">
        <f>G14</f>
        <v/>
      </c>
      <c r="H15" s="8">
        <f>H14</f>
        <v/>
      </c>
      <c r="I15" s="8">
        <f>I14</f>
        <v/>
      </c>
      <c r="J15" s="8">
        <f>J14</f>
        <v/>
      </c>
      <c r="K15" s="8">
        <f>K14</f>
        <v/>
      </c>
      <c r="L15" s="8">
        <f>L14</f>
        <v/>
      </c>
      <c r="M15" s="8">
        <f>M14</f>
        <v/>
      </c>
      <c r="N15" s="8">
        <f>SUM(B15:M15)</f>
        <v/>
      </c>
    </row>
    <row r="16">
      <c r="A16" s="33" t="inlineStr"/>
    </row>
    <row r="17">
      <c r="A17" s="40" t="inlineStr">
        <is>
          <t>FINANCING ACTIVITIES</t>
        </is>
      </c>
    </row>
    <row r="18">
      <c r="A18" s="33" t="inlineStr">
        <is>
          <t>Equity/Loan Proceeds</t>
        </is>
      </c>
      <c r="B18" s="7">
        <f>Assumptions!$B$81+Assumptions!$B$82</f>
        <v/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8">
        <f>SUM(B18:M18)</f>
        <v/>
      </c>
    </row>
    <row r="19">
      <c r="A19" s="33" t="inlineStr">
        <is>
          <t>Loan Repayments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8">
        <f>SUM(B19:M19)</f>
        <v/>
      </c>
    </row>
    <row r="20">
      <c r="A20" s="33" t="inlineStr">
        <is>
          <t>Cash from Financing</t>
        </is>
      </c>
      <c r="B20" s="8">
        <f>B18+B19</f>
        <v/>
      </c>
      <c r="C20" s="8">
        <f>C18+C19</f>
        <v/>
      </c>
      <c r="D20" s="8">
        <f>D18+D19</f>
        <v/>
      </c>
      <c r="E20" s="8">
        <f>E18+E19</f>
        <v/>
      </c>
      <c r="F20" s="8">
        <f>F18+F19</f>
        <v/>
      </c>
      <c r="G20" s="8">
        <f>G18+G19</f>
        <v/>
      </c>
      <c r="H20" s="8">
        <f>H18+H19</f>
        <v/>
      </c>
      <c r="I20" s="8">
        <f>I18+I19</f>
        <v/>
      </c>
      <c r="J20" s="8">
        <f>J18+J19</f>
        <v/>
      </c>
      <c r="K20" s="8">
        <f>K18+K19</f>
        <v/>
      </c>
      <c r="L20" s="8">
        <f>L18+L19</f>
        <v/>
      </c>
      <c r="M20" s="8">
        <f>M18+M19</f>
        <v/>
      </c>
      <c r="N20" s="8">
        <f>SUM(B20:M20)</f>
        <v/>
      </c>
    </row>
    <row r="21">
      <c r="A21" s="33" t="inlineStr"/>
    </row>
    <row r="22">
      <c r="A22" s="32" t="inlineStr">
        <is>
          <t>NET CHANGE IN CASH</t>
        </is>
      </c>
      <c r="B22" s="41">
        <f>B18+B20+B21</f>
        <v/>
      </c>
      <c r="C22" s="41">
        <f>C18+C20+C21</f>
        <v/>
      </c>
      <c r="D22" s="41">
        <f>D18+D20+D21</f>
        <v/>
      </c>
      <c r="E22" s="41">
        <f>E18+E20+E21</f>
        <v/>
      </c>
      <c r="F22" s="41">
        <f>F18+F20+F21</f>
        <v/>
      </c>
      <c r="G22" s="41">
        <f>G18+G20+G21</f>
        <v/>
      </c>
      <c r="H22" s="41">
        <f>H18+H20+H21</f>
        <v/>
      </c>
      <c r="I22" s="41">
        <f>I18+I20+I21</f>
        <v/>
      </c>
      <c r="J22" s="41">
        <f>J18+J20+J21</f>
        <v/>
      </c>
      <c r="K22" s="41">
        <f>K18+K20+K21</f>
        <v/>
      </c>
      <c r="L22" s="41">
        <f>L18+L20+L21</f>
        <v/>
      </c>
      <c r="M22" s="41">
        <f>M18+M20+M21</f>
        <v/>
      </c>
      <c r="N22" s="8">
        <f>SUM(B22:M22)</f>
        <v/>
      </c>
    </row>
    <row r="23">
      <c r="A23" s="33" t="inlineStr">
        <is>
          <t>Beginning Cash Balance</t>
        </is>
      </c>
      <c r="B23" s="7" t="n">
        <v>0</v>
      </c>
      <c r="C23" s="7">
        <f>B24</f>
        <v/>
      </c>
      <c r="D23" s="7">
        <f>C24</f>
        <v/>
      </c>
      <c r="E23" s="7">
        <f>D24</f>
        <v/>
      </c>
      <c r="F23" s="7">
        <f>E24</f>
        <v/>
      </c>
      <c r="G23" s="7">
        <f>F24</f>
        <v/>
      </c>
      <c r="H23" s="7">
        <f>G24</f>
        <v/>
      </c>
      <c r="I23" s="7">
        <f>H24</f>
        <v/>
      </c>
      <c r="J23" s="7">
        <f>I24</f>
        <v/>
      </c>
      <c r="K23" s="7">
        <f>J24</f>
        <v/>
      </c>
      <c r="L23" s="7">
        <f>K24</f>
        <v/>
      </c>
      <c r="M23" s="7">
        <f>L24</f>
        <v/>
      </c>
      <c r="N23" s="8">
        <f>B23</f>
        <v/>
      </c>
    </row>
    <row r="24">
      <c r="A24" s="42" t="inlineStr">
        <is>
          <t>Ending Cash Balance</t>
        </is>
      </c>
      <c r="B24" s="37">
        <f>B22+B23</f>
        <v/>
      </c>
      <c r="C24" s="37">
        <f>C22+C23</f>
        <v/>
      </c>
      <c r="D24" s="37">
        <f>D22+D23</f>
        <v/>
      </c>
      <c r="E24" s="37">
        <f>E22+E23</f>
        <v/>
      </c>
      <c r="F24" s="37">
        <f>F22+F23</f>
        <v/>
      </c>
      <c r="G24" s="37">
        <f>G22+G23</f>
        <v/>
      </c>
      <c r="H24" s="37">
        <f>H22+H23</f>
        <v/>
      </c>
      <c r="I24" s="37">
        <f>I22+I23</f>
        <v/>
      </c>
      <c r="J24" s="37">
        <f>J22+J23</f>
        <v/>
      </c>
      <c r="K24" s="37">
        <f>K22+K23</f>
        <v/>
      </c>
      <c r="L24" s="37">
        <f>L22+L23</f>
        <v/>
      </c>
      <c r="M24" s="37">
        <f>M22+M23</f>
        <v/>
      </c>
      <c r="N24" s="8">
        <f>M24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</cols>
  <sheetData>
    <row r="1">
      <c r="A1" s="19" t="inlineStr">
        <is>
          <t>DEEP DIVE BOTANICALS - UNIT ECONOMICS</t>
        </is>
      </c>
    </row>
    <row r="3">
      <c r="A3" s="2" t="inlineStr">
        <is>
          <t>PER-CAN ECONOMICS</t>
        </is>
      </c>
      <c r="C3" s="17" t="b">
        <v>1</v>
      </c>
    </row>
    <row r="4">
      <c r="A4" s="33" t="inlineStr">
        <is>
          <t>Selling Price (ex-factory)</t>
        </is>
      </c>
      <c r="B4" s="43">
        <f>Assumptions!$B$12</f>
        <v/>
      </c>
      <c r="C4" s="17" t="inlineStr">
        <is>
          <t>€</t>
        </is>
      </c>
    </row>
    <row r="5">
      <c r="A5" s="33" t="inlineStr">
        <is>
          <t>COGS per can</t>
        </is>
      </c>
      <c r="B5" s="43">
        <f>Assumptions!$B$27</f>
        <v/>
      </c>
      <c r="C5" s="17" t="inlineStr">
        <is>
          <t>€</t>
        </is>
      </c>
    </row>
    <row r="6">
      <c r="A6" s="33" t="inlineStr">
        <is>
          <t>Gross Profit per can</t>
        </is>
      </c>
      <c r="B6" s="43">
        <f>B5-B6</f>
        <v/>
      </c>
      <c r="C6" s="17" t="inlineStr">
        <is>
          <t>€</t>
        </is>
      </c>
    </row>
    <row r="7">
      <c r="A7" s="33" t="inlineStr">
        <is>
          <t>Gross Margin %</t>
        </is>
      </c>
      <c r="B7" s="44">
        <f>B7/B5</f>
        <v/>
      </c>
      <c r="C7" s="17" t="inlineStr">
        <is>
          <t>%</t>
        </is>
      </c>
    </row>
    <row r="8">
      <c r="A8" s="33" t="inlineStr"/>
      <c r="C8" s="17" t="b">
        <v>0</v>
      </c>
    </row>
    <row r="9">
      <c r="A9" s="33" t="inlineStr">
        <is>
          <t>Variable Marketing Cost per can</t>
        </is>
      </c>
      <c r="B9" s="43">
        <f>Assumptions!$B$66*B5</f>
        <v/>
      </c>
      <c r="C9" s="17" t="inlineStr">
        <is>
          <t>€</t>
        </is>
      </c>
    </row>
    <row r="10">
      <c r="A10" s="33" t="inlineStr">
        <is>
          <t>Contribution Margin I</t>
        </is>
      </c>
      <c r="B10" s="43">
        <f>B7-B10</f>
        <v/>
      </c>
      <c r="C10" s="17" t="inlineStr">
        <is>
          <t>€</t>
        </is>
      </c>
    </row>
    <row r="11">
      <c r="A11" s="2" t="inlineStr">
        <is>
          <t>CM I %</t>
        </is>
      </c>
      <c r="B11" s="44">
        <f>B11/B5</f>
        <v/>
      </c>
      <c r="C11" s="17" t="inlineStr">
        <is>
          <t>%</t>
        </is>
      </c>
    </row>
    <row r="12">
      <c r="A12" s="33" t="inlineStr"/>
      <c r="C12" s="17" t="b">
        <v>0</v>
      </c>
    </row>
    <row r="13">
      <c r="A13" s="2" t="inlineStr">
        <is>
          <t>CUSTOMER ACQUISITION COST (CAC)</t>
        </is>
      </c>
      <c r="C13" s="17" t="b">
        <v>1</v>
      </c>
    </row>
    <row r="14">
      <c r="A14" s="33" t="inlineStr">
        <is>
          <t>Average Marketing Spend (Y1)</t>
        </is>
      </c>
      <c r="B14" s="43">
        <f>'P&amp;L Year 1 (Monthly)'!N26</f>
        <v/>
      </c>
      <c r="C14" s="17" t="inlineStr">
        <is>
          <t>€</t>
        </is>
      </c>
    </row>
    <row r="15">
      <c r="A15" s="33" t="inlineStr">
        <is>
          <t>New Customers Acquired (Y1)</t>
        </is>
      </c>
      <c r="B15" s="45">
        <f>Assumptions!$B$38*0.7</f>
        <v/>
      </c>
      <c r="C15" s="17" t="inlineStr">
        <is>
          <t>customers</t>
        </is>
      </c>
    </row>
    <row r="16">
      <c r="A16" s="2" t="inlineStr">
        <is>
          <t>CAC</t>
        </is>
      </c>
      <c r="B16" s="43">
        <f>B15/B16</f>
        <v/>
      </c>
      <c r="C16" s="17" t="inlineStr">
        <is>
          <t>€ per customer</t>
        </is>
      </c>
    </row>
    <row r="17">
      <c r="A17" s="33" t="inlineStr"/>
      <c r="C17" s="17" t="b">
        <v>0</v>
      </c>
    </row>
    <row r="18">
      <c r="A18" s="2" t="inlineStr">
        <is>
          <t>LIFETIME VALUE (LTV)</t>
        </is>
      </c>
      <c r="C18" s="17" t="b">
        <v>1</v>
      </c>
    </row>
    <row r="19">
      <c r="A19" s="33" t="inlineStr">
        <is>
          <t>Average Purchase Frequency</t>
        </is>
      </c>
      <c r="B19" s="46" t="n">
        <v>24</v>
      </c>
      <c r="C19" s="17" t="inlineStr">
        <is>
          <t>cans/year</t>
        </is>
      </c>
    </row>
    <row r="20">
      <c r="A20" s="33" t="inlineStr">
        <is>
          <t>Average Customer Lifetime</t>
        </is>
      </c>
      <c r="B20" s="45" t="n">
        <v>3</v>
      </c>
      <c r="C20" s="17" t="inlineStr">
        <is>
          <t>years</t>
        </is>
      </c>
    </row>
    <row r="21">
      <c r="A21" s="33" t="inlineStr">
        <is>
          <t>Total Lifetime Purchases</t>
        </is>
      </c>
      <c r="B21" s="46">
        <f>B21*B22</f>
        <v/>
      </c>
      <c r="C21" s="17" t="inlineStr">
        <is>
          <t>cans</t>
        </is>
      </c>
    </row>
    <row r="22">
      <c r="A22" s="33" t="inlineStr">
        <is>
          <t>CM I per customer (lifetime)</t>
        </is>
      </c>
      <c r="B22" s="43">
        <f>B23*B11</f>
        <v/>
      </c>
      <c r="C22" s="17" t="inlineStr">
        <is>
          <t>€</t>
        </is>
      </c>
    </row>
    <row r="23">
      <c r="A23" s="2" t="inlineStr">
        <is>
          <t>LTV</t>
        </is>
      </c>
      <c r="B23" s="43">
        <f>B24</f>
        <v/>
      </c>
      <c r="C23" s="17" t="inlineStr">
        <is>
          <t>€</t>
        </is>
      </c>
    </row>
    <row r="24">
      <c r="A24" s="33" t="inlineStr"/>
      <c r="C24" s="17" t="b">
        <v>0</v>
      </c>
    </row>
    <row r="25">
      <c r="A25" s="2" t="inlineStr">
        <is>
          <t>LTV / CAC RATIO</t>
        </is>
      </c>
      <c r="B25" s="47">
        <f>B25/B17</f>
        <v/>
      </c>
      <c r="C25" s="17" t="inlineStr">
        <is>
          <t>ratio</t>
        </is>
      </c>
    </row>
    <row r="26">
      <c r="A26" s="33" t="inlineStr">
        <is>
          <t>Target Ratio</t>
        </is>
      </c>
      <c r="B26" s="48" t="inlineStr">
        <is>
          <t>&gt;3.0</t>
        </is>
      </c>
      <c r="C26" s="17" t="inlineStr">
        <is>
          <t>benchmark</t>
        </is>
      </c>
    </row>
    <row r="27">
      <c r="A27" s="33" t="inlineStr"/>
      <c r="C27" s="17" t="b">
        <v>0</v>
      </c>
    </row>
    <row r="28">
      <c r="A28" s="33" t="inlineStr">
        <is>
          <t>BREAK-EVEN VOLUME (per can)</t>
        </is>
      </c>
      <c r="C28" s="17" t="b">
        <v>1</v>
      </c>
    </row>
    <row r="29">
      <c r="A29" s="33" t="inlineStr">
        <is>
          <t>Fixed Costs (Y1 annual)</t>
        </is>
      </c>
      <c r="B29" s="43">
        <f>'P&amp;L Year 1 (Monthly)'!N31-'P&amp;L Year 1 (Monthly)'!N26</f>
        <v/>
      </c>
      <c r="C29" s="17" t="inlineStr">
        <is>
          <t>€</t>
        </is>
      </c>
    </row>
    <row r="30">
      <c r="A30" s="33" t="inlineStr">
        <is>
          <t>CM I per can</t>
        </is>
      </c>
      <c r="B30" s="43">
        <f>B11</f>
        <v/>
      </c>
      <c r="C30" s="17" t="inlineStr">
        <is>
          <t>€</t>
        </is>
      </c>
    </row>
    <row r="31">
      <c r="A31" s="33" t="inlineStr">
        <is>
          <t>Break-even Volume</t>
        </is>
      </c>
      <c r="B31" s="46">
        <f>B32/B33</f>
        <v/>
      </c>
      <c r="C31" s="17" t="inlineStr">
        <is>
          <t>cans</t>
        </is>
      </c>
    </row>
    <row r="32">
      <c r="A32" s="33" t="inlineStr">
        <is>
          <t>Break-even as % of Y1 plan</t>
        </is>
      </c>
      <c r="B32" s="44">
        <f>B34/Assumptions!$B$38</f>
        <v/>
      </c>
      <c r="C32" s="17" t="inlineStr">
        <is>
          <t>%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9" t="inlineStr">
        <is>
          <t>DEEP DIVE BOTANICALS - BASE CASE</t>
        </is>
      </c>
    </row>
    <row r="3">
      <c r="A3" s="49" t="inlineStr">
        <is>
          <t>Scenario Adjustments:</t>
        </is>
      </c>
    </row>
    <row r="4">
      <c r="A4" t="inlineStr">
        <is>
          <t>Volume: +0%</t>
        </is>
      </c>
    </row>
    <row r="5">
      <c r="A5" t="inlineStr">
        <is>
          <t>COGS: €+0.00</t>
        </is>
      </c>
    </row>
    <row r="6">
      <c r="A6" t="inlineStr">
        <is>
          <t>Margin: +0.0%</t>
        </is>
      </c>
    </row>
    <row r="8">
      <c r="A8" s="3" t="inlineStr">
        <is>
          <t>Metric</t>
        </is>
      </c>
      <c r="B8" s="3" t="inlineStr">
        <is>
          <t>Year 1</t>
        </is>
      </c>
      <c r="C8" s="3" t="inlineStr">
        <is>
          <t>Year 2</t>
        </is>
      </c>
      <c r="D8" s="3" t="inlineStr">
        <is>
          <t>Year 3</t>
        </is>
      </c>
      <c r="E8" s="3" t="inlineStr">
        <is>
          <t>3-Year Total</t>
        </is>
      </c>
    </row>
    <row r="9">
      <c r="A9" s="33" t="inlineStr">
        <is>
          <t>Volume (cans)</t>
        </is>
      </c>
      <c r="B9" s="5">
        <f>Assumptions!$B$38*(1+0.0)</f>
        <v/>
      </c>
      <c r="C9" s="5">
        <f>Assumptions!$B$39*(1+0.0)</f>
        <v/>
      </c>
      <c r="D9" s="5">
        <f>Assumptions!$B$40*(1+0.0)</f>
        <v/>
      </c>
      <c r="E9" s="6">
        <f>SUM(B9:D9)</f>
        <v/>
      </c>
    </row>
    <row r="10">
      <c r="A10" s="33" t="inlineStr">
        <is>
          <t>Revenue</t>
        </is>
      </c>
      <c r="B10" s="7">
        <f>B10*Assumptions!$B$12</f>
        <v/>
      </c>
      <c r="C10" s="7">
        <f>B10*Assumptions!$B$12</f>
        <v/>
      </c>
      <c r="D10" s="7">
        <f>B10*Assumptions!$B$12</f>
        <v/>
      </c>
      <c r="E10" s="8">
        <f>SUM(B10:D10)</f>
        <v/>
      </c>
    </row>
    <row r="11">
      <c r="A11" s="33" t="inlineStr">
        <is>
          <t>COGS</t>
        </is>
      </c>
      <c r="B11" s="7">
        <f>B11*(Assumptions!$B$27+0.0)</f>
        <v/>
      </c>
      <c r="C11" s="7">
        <f>B11*(Assumptions!$B$27+0.0)</f>
        <v/>
      </c>
      <c r="D11" s="7">
        <f>B11*(Assumptions!$B$27+0.0)</f>
        <v/>
      </c>
      <c r="E11" s="8">
        <f>SUM(B11:D11)</f>
        <v/>
      </c>
    </row>
    <row r="12">
      <c r="A12" s="33" t="inlineStr">
        <is>
          <t>Gross Profit</t>
        </is>
      </c>
      <c r="B12" s="7">
        <f>B10-B11</f>
        <v/>
      </c>
      <c r="C12" s="7">
        <f>B10-B11</f>
        <v/>
      </c>
      <c r="D12" s="7">
        <f>B10-B11</f>
        <v/>
      </c>
      <c r="E12" s="8">
        <f>SUM(B12:D12)</f>
        <v/>
      </c>
    </row>
    <row r="13">
      <c r="A13" s="33" t="inlineStr">
        <is>
          <t>Gross Margin %</t>
        </is>
      </c>
      <c r="B13" s="9">
        <f>B12/B10</f>
        <v/>
      </c>
      <c r="C13" s="9">
        <f>B12/B10</f>
        <v/>
      </c>
      <c r="D13" s="9">
        <f>B12/B10</f>
        <v/>
      </c>
      <c r="E13" s="10">
        <f>AVERAGE(B13:D13)</f>
        <v/>
      </c>
    </row>
    <row r="14">
      <c r="A14" s="33" t="inlineStr">
        <is>
          <t>Operating Expenses</t>
        </is>
      </c>
      <c r="B14" s="7">
        <f>B10*0.25</f>
        <v/>
      </c>
      <c r="C14" s="7">
        <f>B10*0.25</f>
        <v/>
      </c>
      <c r="D14" s="7">
        <f>B10*0.25</f>
        <v/>
      </c>
      <c r="E14" s="8">
        <f>SUM(B14:D14)</f>
        <v/>
      </c>
    </row>
    <row r="15">
      <c r="A15" s="33" t="inlineStr">
        <is>
          <t>EBITDA</t>
        </is>
      </c>
      <c r="B15" s="7">
        <f>B12-B14</f>
        <v/>
      </c>
      <c r="C15" s="7">
        <f>B12-B14</f>
        <v/>
      </c>
      <c r="D15" s="7">
        <f>B12-B14</f>
        <v/>
      </c>
      <c r="E15" s="8">
        <f>SUM(B15:D15)</f>
        <v/>
      </c>
    </row>
    <row r="16">
      <c r="A16" s="33" t="inlineStr">
        <is>
          <t>EBITDA Margin %</t>
        </is>
      </c>
      <c r="B16" s="9">
        <f>B15/B10</f>
        <v/>
      </c>
      <c r="C16" s="9">
        <f>B15/B10</f>
        <v/>
      </c>
      <c r="D16" s="9">
        <f>B15/B10</f>
        <v/>
      </c>
      <c r="E16" s="10">
        <f>AVERAGE(B16:D16)</f>
        <v/>
      </c>
    </row>
    <row r="17">
      <c r="A17" s="33" t="inlineStr">
        <is>
          <t>Net Income</t>
        </is>
      </c>
      <c r="B17" s="7">
        <f>B15*0.7</f>
        <v/>
      </c>
      <c r="C17" s="7">
        <f>B15*0.7</f>
        <v/>
      </c>
      <c r="D17" s="7">
        <f>B15*0.7</f>
        <v/>
      </c>
      <c r="E17" s="8">
        <f>SUM(B17:D17)</f>
        <v/>
      </c>
    </row>
    <row r="18">
      <c r="A18" s="33" t="inlineStr">
        <is>
          <t>Net Margin %</t>
        </is>
      </c>
      <c r="B18" s="9">
        <f>B17/B10</f>
        <v/>
      </c>
      <c r="C18" s="9">
        <f>B17/B10</f>
        <v/>
      </c>
      <c r="D18" s="9">
        <f>B17/B10</f>
        <v/>
      </c>
      <c r="E18" s="10">
        <f>AVERAGE(B18:D18)</f>
        <v/>
      </c>
    </row>
    <row r="19">
      <c r="A19" s="33" t="inlineStr">
        <is>
          <t>Cumulative Cash Position</t>
        </is>
      </c>
      <c r="B19" s="7">
        <f>Assumptions!$B$81+Assumptions!$B$82+B18</f>
        <v/>
      </c>
      <c r="C19" s="7">
        <f>B19+B18</f>
        <v/>
      </c>
      <c r="D19" s="7">
        <f>C19+B18</f>
        <v/>
      </c>
      <c r="E19" s="8">
        <f>D19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9" t="inlineStr">
        <is>
          <t>DEEP DIVE BOTANICALS - BULL CASE</t>
        </is>
      </c>
    </row>
    <row r="3">
      <c r="A3" s="49" t="inlineStr">
        <is>
          <t>Scenario Adjustments:</t>
        </is>
      </c>
    </row>
    <row r="4">
      <c r="A4" t="inlineStr">
        <is>
          <t>Volume: +20%</t>
        </is>
      </c>
    </row>
    <row r="5">
      <c r="A5" t="inlineStr">
        <is>
          <t>COGS: €-0.03</t>
        </is>
      </c>
    </row>
    <row r="6">
      <c r="A6" t="inlineStr">
        <is>
          <t>Margin: +2.0%</t>
        </is>
      </c>
    </row>
    <row r="8">
      <c r="A8" s="3" t="inlineStr">
        <is>
          <t>Metric</t>
        </is>
      </c>
      <c r="B8" s="3" t="inlineStr">
        <is>
          <t>Year 1</t>
        </is>
      </c>
      <c r="C8" s="3" t="inlineStr">
        <is>
          <t>Year 2</t>
        </is>
      </c>
      <c r="D8" s="3" t="inlineStr">
        <is>
          <t>Year 3</t>
        </is>
      </c>
      <c r="E8" s="3" t="inlineStr">
        <is>
          <t>3-Year Total</t>
        </is>
      </c>
    </row>
    <row r="9">
      <c r="A9" s="33" t="inlineStr">
        <is>
          <t>Volume (cans)</t>
        </is>
      </c>
      <c r="B9" s="5">
        <f>Assumptions!$B$38*(1+0.2)</f>
        <v/>
      </c>
      <c r="C9" s="5">
        <f>Assumptions!$B$39*(1+0.2)</f>
        <v/>
      </c>
      <c r="D9" s="5">
        <f>Assumptions!$B$40*(1+0.2)</f>
        <v/>
      </c>
      <c r="E9" s="6">
        <f>SUM(B9:D9)</f>
        <v/>
      </c>
    </row>
    <row r="10">
      <c r="A10" s="33" t="inlineStr">
        <is>
          <t>Revenue</t>
        </is>
      </c>
      <c r="B10" s="7">
        <f>B10*Assumptions!$B$12</f>
        <v/>
      </c>
      <c r="C10" s="7">
        <f>B10*Assumptions!$B$12</f>
        <v/>
      </c>
      <c r="D10" s="7">
        <f>B10*Assumptions!$B$12</f>
        <v/>
      </c>
      <c r="E10" s="8">
        <f>SUM(B10:D10)</f>
        <v/>
      </c>
    </row>
    <row r="11">
      <c r="A11" s="33" t="inlineStr">
        <is>
          <t>COGS</t>
        </is>
      </c>
      <c r="B11" s="7">
        <f>B11*(Assumptions!$B$27+-0.03)</f>
        <v/>
      </c>
      <c r="C11" s="7">
        <f>B11*(Assumptions!$B$27+-0.03)</f>
        <v/>
      </c>
      <c r="D11" s="7">
        <f>B11*(Assumptions!$B$27+-0.03)</f>
        <v/>
      </c>
      <c r="E11" s="8">
        <f>SUM(B11:D11)</f>
        <v/>
      </c>
    </row>
    <row r="12">
      <c r="A12" s="33" t="inlineStr">
        <is>
          <t>Gross Profit</t>
        </is>
      </c>
      <c r="B12" s="7">
        <f>B10-B11</f>
        <v/>
      </c>
      <c r="C12" s="7">
        <f>B10-B11</f>
        <v/>
      </c>
      <c r="D12" s="7">
        <f>B10-B11</f>
        <v/>
      </c>
      <c r="E12" s="8">
        <f>SUM(B12:D12)</f>
        <v/>
      </c>
    </row>
    <row r="13">
      <c r="A13" s="33" t="inlineStr">
        <is>
          <t>Gross Margin %</t>
        </is>
      </c>
      <c r="B13" s="9">
        <f>B12/B10</f>
        <v/>
      </c>
      <c r="C13" s="9">
        <f>B12/B10</f>
        <v/>
      </c>
      <c r="D13" s="9">
        <f>B12/B10</f>
        <v/>
      </c>
      <c r="E13" s="10">
        <f>AVERAGE(B13:D13)</f>
        <v/>
      </c>
    </row>
    <row r="14">
      <c r="A14" s="33" t="inlineStr">
        <is>
          <t>Operating Expenses</t>
        </is>
      </c>
      <c r="B14" s="7">
        <f>B10*0.25</f>
        <v/>
      </c>
      <c r="C14" s="7">
        <f>B10*0.25</f>
        <v/>
      </c>
      <c r="D14" s="7">
        <f>B10*0.25</f>
        <v/>
      </c>
      <c r="E14" s="8">
        <f>SUM(B14:D14)</f>
        <v/>
      </c>
    </row>
    <row r="15">
      <c r="A15" s="33" t="inlineStr">
        <is>
          <t>EBITDA</t>
        </is>
      </c>
      <c r="B15" s="7">
        <f>B12-B14</f>
        <v/>
      </c>
      <c r="C15" s="7">
        <f>B12-B14</f>
        <v/>
      </c>
      <c r="D15" s="7">
        <f>B12-B14</f>
        <v/>
      </c>
      <c r="E15" s="8">
        <f>SUM(B15:D15)</f>
        <v/>
      </c>
    </row>
    <row r="16">
      <c r="A16" s="33" t="inlineStr">
        <is>
          <t>EBITDA Margin %</t>
        </is>
      </c>
      <c r="B16" s="9">
        <f>B15/B10</f>
        <v/>
      </c>
      <c r="C16" s="9">
        <f>B15/B10</f>
        <v/>
      </c>
      <c r="D16" s="9">
        <f>B15/B10</f>
        <v/>
      </c>
      <c r="E16" s="10">
        <f>AVERAGE(B16:D16)</f>
        <v/>
      </c>
    </row>
    <row r="17">
      <c r="A17" s="33" t="inlineStr">
        <is>
          <t>Net Income</t>
        </is>
      </c>
      <c r="B17" s="7">
        <f>B15*0.7</f>
        <v/>
      </c>
      <c r="C17" s="7">
        <f>B15*0.7</f>
        <v/>
      </c>
      <c r="D17" s="7">
        <f>B15*0.7</f>
        <v/>
      </c>
      <c r="E17" s="8">
        <f>SUM(B17:D17)</f>
        <v/>
      </c>
    </row>
    <row r="18">
      <c r="A18" s="33" t="inlineStr">
        <is>
          <t>Net Margin %</t>
        </is>
      </c>
      <c r="B18" s="9">
        <f>B17/B10</f>
        <v/>
      </c>
      <c r="C18" s="9">
        <f>B17/B10</f>
        <v/>
      </c>
      <c r="D18" s="9">
        <f>B17/B10</f>
        <v/>
      </c>
      <c r="E18" s="10">
        <f>AVERAGE(B18:D18)</f>
        <v/>
      </c>
    </row>
    <row r="19">
      <c r="A19" s="33" t="inlineStr">
        <is>
          <t>Cumulative Cash Position</t>
        </is>
      </c>
      <c r="B19" s="7">
        <f>Assumptions!$B$81+Assumptions!$B$82+B18</f>
        <v/>
      </c>
      <c r="C19" s="7">
        <f>B19+B18</f>
        <v/>
      </c>
      <c r="D19" s="7">
        <f>C19+B18</f>
        <v/>
      </c>
      <c r="E19" s="8">
        <f>D19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9" t="inlineStr">
        <is>
          <t>DEEP DIVE BOTANICALS - BEAR CASE</t>
        </is>
      </c>
    </row>
    <row r="3">
      <c r="A3" s="49" t="inlineStr">
        <is>
          <t>Scenario Adjustments:</t>
        </is>
      </c>
    </row>
    <row r="4">
      <c r="A4" t="inlineStr">
        <is>
          <t>Volume: -20%</t>
        </is>
      </c>
    </row>
    <row r="5">
      <c r="A5" t="inlineStr">
        <is>
          <t>COGS: €+0.03</t>
        </is>
      </c>
    </row>
    <row r="6">
      <c r="A6" t="inlineStr">
        <is>
          <t>Margin: -2.0%</t>
        </is>
      </c>
    </row>
    <row r="8">
      <c r="A8" s="3" t="inlineStr">
        <is>
          <t>Metric</t>
        </is>
      </c>
      <c r="B8" s="3" t="inlineStr">
        <is>
          <t>Year 1</t>
        </is>
      </c>
      <c r="C8" s="3" t="inlineStr">
        <is>
          <t>Year 2</t>
        </is>
      </c>
      <c r="D8" s="3" t="inlineStr">
        <is>
          <t>Year 3</t>
        </is>
      </c>
      <c r="E8" s="3" t="inlineStr">
        <is>
          <t>3-Year Total</t>
        </is>
      </c>
    </row>
    <row r="9">
      <c r="A9" s="33" t="inlineStr">
        <is>
          <t>Volume (cans)</t>
        </is>
      </c>
      <c r="B9" s="5">
        <f>Assumptions!$B$38*(1+-0.2)</f>
        <v/>
      </c>
      <c r="C9" s="5">
        <f>Assumptions!$B$39*(1+-0.2)</f>
        <v/>
      </c>
      <c r="D9" s="5">
        <f>Assumptions!$B$40*(1+-0.2)</f>
        <v/>
      </c>
      <c r="E9" s="6">
        <f>SUM(B9:D9)</f>
        <v/>
      </c>
    </row>
    <row r="10">
      <c r="A10" s="33" t="inlineStr">
        <is>
          <t>Revenue</t>
        </is>
      </c>
      <c r="B10" s="7">
        <f>B10*Assumptions!$B$12</f>
        <v/>
      </c>
      <c r="C10" s="7">
        <f>B10*Assumptions!$B$12</f>
        <v/>
      </c>
      <c r="D10" s="7">
        <f>B10*Assumptions!$B$12</f>
        <v/>
      </c>
      <c r="E10" s="8">
        <f>SUM(B10:D10)</f>
        <v/>
      </c>
    </row>
    <row r="11">
      <c r="A11" s="33" t="inlineStr">
        <is>
          <t>COGS</t>
        </is>
      </c>
      <c r="B11" s="7">
        <f>B11*(Assumptions!$B$27+0.03)</f>
        <v/>
      </c>
      <c r="C11" s="7">
        <f>B11*(Assumptions!$B$27+0.03)</f>
        <v/>
      </c>
      <c r="D11" s="7">
        <f>B11*(Assumptions!$B$27+0.03)</f>
        <v/>
      </c>
      <c r="E11" s="8">
        <f>SUM(B11:D11)</f>
        <v/>
      </c>
    </row>
    <row r="12">
      <c r="A12" s="33" t="inlineStr">
        <is>
          <t>Gross Profit</t>
        </is>
      </c>
      <c r="B12" s="7">
        <f>B10-B11</f>
        <v/>
      </c>
      <c r="C12" s="7">
        <f>B10-B11</f>
        <v/>
      </c>
      <c r="D12" s="7">
        <f>B10-B11</f>
        <v/>
      </c>
      <c r="E12" s="8">
        <f>SUM(B12:D12)</f>
        <v/>
      </c>
    </row>
    <row r="13">
      <c r="A13" s="33" t="inlineStr">
        <is>
          <t>Gross Margin %</t>
        </is>
      </c>
      <c r="B13" s="9">
        <f>B12/B10</f>
        <v/>
      </c>
      <c r="C13" s="9">
        <f>B12/B10</f>
        <v/>
      </c>
      <c r="D13" s="9">
        <f>B12/B10</f>
        <v/>
      </c>
      <c r="E13" s="10">
        <f>AVERAGE(B13:D13)</f>
        <v/>
      </c>
    </row>
    <row r="14">
      <c r="A14" s="33" t="inlineStr">
        <is>
          <t>Operating Expenses</t>
        </is>
      </c>
      <c r="B14" s="7">
        <f>B10*0.25</f>
        <v/>
      </c>
      <c r="C14" s="7">
        <f>B10*0.25</f>
        <v/>
      </c>
      <c r="D14" s="7">
        <f>B10*0.25</f>
        <v/>
      </c>
      <c r="E14" s="8">
        <f>SUM(B14:D14)</f>
        <v/>
      </c>
    </row>
    <row r="15">
      <c r="A15" s="33" t="inlineStr">
        <is>
          <t>EBITDA</t>
        </is>
      </c>
      <c r="B15" s="7">
        <f>B12-B14</f>
        <v/>
      </c>
      <c r="C15" s="7">
        <f>B12-B14</f>
        <v/>
      </c>
      <c r="D15" s="7">
        <f>B12-B14</f>
        <v/>
      </c>
      <c r="E15" s="8">
        <f>SUM(B15:D15)</f>
        <v/>
      </c>
    </row>
    <row r="16">
      <c r="A16" s="33" t="inlineStr">
        <is>
          <t>EBITDA Margin %</t>
        </is>
      </c>
      <c r="B16" s="9">
        <f>B15/B10</f>
        <v/>
      </c>
      <c r="C16" s="9">
        <f>B15/B10</f>
        <v/>
      </c>
      <c r="D16" s="9">
        <f>B15/B10</f>
        <v/>
      </c>
      <c r="E16" s="10">
        <f>AVERAGE(B16:D16)</f>
        <v/>
      </c>
    </row>
    <row r="17">
      <c r="A17" s="33" t="inlineStr">
        <is>
          <t>Net Income</t>
        </is>
      </c>
      <c r="B17" s="7">
        <f>B15*0.7</f>
        <v/>
      </c>
      <c r="C17" s="7">
        <f>B15*0.7</f>
        <v/>
      </c>
      <c r="D17" s="7">
        <f>B15*0.7</f>
        <v/>
      </c>
      <c r="E17" s="8">
        <f>SUM(B17:D17)</f>
        <v/>
      </c>
    </row>
    <row r="18">
      <c r="A18" s="33" t="inlineStr">
        <is>
          <t>Net Margin %</t>
        </is>
      </c>
      <c r="B18" s="9">
        <f>B17/B10</f>
        <v/>
      </c>
      <c r="C18" s="9">
        <f>B17/B10</f>
        <v/>
      </c>
      <c r="D18" s="9">
        <f>B17/B10</f>
        <v/>
      </c>
      <c r="E18" s="10">
        <f>AVERAGE(B18:D18)</f>
        <v/>
      </c>
    </row>
    <row r="19">
      <c r="A19" s="33" t="inlineStr">
        <is>
          <t>Cumulative Cash Position</t>
        </is>
      </c>
      <c r="B19" s="7">
        <f>Assumptions!$B$81+Assumptions!$B$82+B18</f>
        <v/>
      </c>
      <c r="C19" s="7">
        <f>B19+B18</f>
        <v/>
      </c>
      <c r="D19" s="7">
        <f>C19+B18</f>
        <v/>
      </c>
      <c r="E19" s="8">
        <f>D19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9" t="inlineStr">
        <is>
          <t>DEEP DIVE BOTANICALS - SENSITIVITY ANALYSIS</t>
        </is>
      </c>
    </row>
    <row r="4">
      <c r="A4" s="2" t="inlineStr">
        <is>
          <t>1. COGS Impact on Gross Margin % (Year 1)</t>
        </is>
      </c>
    </row>
    <row r="5">
      <c r="A5" s="49" t="inlineStr">
        <is>
          <t>COGS Change</t>
        </is>
      </c>
      <c r="B5" s="49" t="inlineStr">
        <is>
          <t>Gross Margin %</t>
        </is>
      </c>
    </row>
    <row r="6">
      <c r="A6" s="50" t="n">
        <v>-0.05</v>
      </c>
      <c r="B6" s="51">
        <f>(Assumptions!$B$12-(Assumptions!$B$27+-0.05))/Assumptions!$B$12</f>
        <v/>
      </c>
    </row>
    <row r="7">
      <c r="A7" s="50" t="n">
        <v>-0.03</v>
      </c>
      <c r="B7" s="51">
        <f>(Assumptions!$B$12-(Assumptions!$B$27+-0.03))/Assumptions!$B$12</f>
        <v/>
      </c>
    </row>
    <row r="8">
      <c r="A8" s="50" t="n">
        <v>-0.01</v>
      </c>
      <c r="B8" s="51">
        <f>(Assumptions!$B$12-(Assumptions!$B$27+-0.01))/Assumptions!$B$12</f>
        <v/>
      </c>
    </row>
    <row r="9">
      <c r="A9" s="50" t="n">
        <v>0</v>
      </c>
      <c r="B9" s="9">
        <f>(Assumptions!$B$12-(Assumptions!$B$27+0.0))/Assumptions!$B$12</f>
        <v/>
      </c>
    </row>
    <row r="10">
      <c r="A10" s="50" t="n">
        <v>0.01</v>
      </c>
      <c r="B10" s="52">
        <f>(Assumptions!$B$12-(Assumptions!$B$27+0.01))/Assumptions!$B$12</f>
        <v/>
      </c>
    </row>
    <row r="11">
      <c r="A11" s="50" t="n">
        <v>0.03</v>
      </c>
      <c r="B11" s="52">
        <f>(Assumptions!$B$12-(Assumptions!$B$27+0.03))/Assumptions!$B$12</f>
        <v/>
      </c>
    </row>
    <row r="12">
      <c r="A12" s="50" t="n">
        <v>0.05</v>
      </c>
      <c r="B12" s="52">
        <f>(Assumptions!$B$12-(Assumptions!$B$27+0.05))/Assumptions!$B$12</f>
        <v/>
      </c>
    </row>
    <row r="15">
      <c r="A15" s="2" t="inlineStr">
        <is>
          <t>2. Volume Impact on Year 1 Ending Cash</t>
        </is>
      </c>
    </row>
    <row r="16">
      <c r="A16" s="49" t="inlineStr">
        <is>
          <t>Volume Change</t>
        </is>
      </c>
      <c r="B16" s="49" t="inlineStr">
        <is>
          <t>Ending Cash (€)</t>
        </is>
      </c>
    </row>
    <row r="17">
      <c r="A17" s="53" t="n">
        <v>-0.2</v>
      </c>
      <c r="B17" s="13">
        <f>'Cash Flow Statement'!N25*(1+-0.4)</f>
        <v/>
      </c>
    </row>
    <row r="18">
      <c r="A18" s="53" t="n">
        <v>-0.1</v>
      </c>
      <c r="B18" s="13">
        <f>'Cash Flow Statement'!N25*(1+-0.2)</f>
        <v/>
      </c>
    </row>
    <row r="19">
      <c r="A19" s="53" t="n">
        <v>-0.05</v>
      </c>
      <c r="B19" s="13">
        <f>'Cash Flow Statement'!N25*(1+-0.1)</f>
        <v/>
      </c>
    </row>
    <row r="20">
      <c r="A20" s="53" t="n">
        <v>0</v>
      </c>
      <c r="B20" s="7">
        <f>'Cash Flow Statement'!N25*(1+0.0)</f>
        <v/>
      </c>
    </row>
    <row r="21">
      <c r="A21" s="53" t="n">
        <v>0.05</v>
      </c>
      <c r="B21" s="12">
        <f>'Cash Flow Statement'!N25*(1+0.1)</f>
        <v/>
      </c>
    </row>
    <row r="22">
      <c r="A22" s="53" t="n">
        <v>0.1</v>
      </c>
      <c r="B22" s="12">
        <f>'Cash Flow Statement'!N25*(1+0.2)</f>
        <v/>
      </c>
    </row>
    <row r="23">
      <c r="A23" s="53" t="n">
        <v>0.2</v>
      </c>
      <c r="B23" s="12">
        <f>'Cash Flow Statement'!N25*(1+0.4)</f>
        <v/>
      </c>
    </row>
    <row r="26">
      <c r="A26" s="2" t="inlineStr">
        <is>
          <t>3. Price vs Volume Impact on Year 1 Revenue</t>
        </is>
      </c>
    </row>
    <row r="27">
      <c r="A27" s="49" t="inlineStr">
        <is>
          <t>Price \ Volume</t>
        </is>
      </c>
      <c r="B27" s="54" t="n">
        <v>-0.2</v>
      </c>
      <c r="C27" s="54" t="n">
        <v>-0.1</v>
      </c>
      <c r="D27" s="54" t="n">
        <v>0</v>
      </c>
      <c r="E27" s="54" t="n">
        <v>0.1</v>
      </c>
      <c r="F27" s="54" t="n">
        <v>0.2</v>
      </c>
    </row>
    <row r="28">
      <c r="A28" s="55" t="n">
        <v>-0.05</v>
      </c>
      <c r="B28" s="7">
        <f>Assumptions!$B$38*(1+-0.2)*(Assumptions!$B$12+-0.05)</f>
        <v/>
      </c>
      <c r="C28" s="7">
        <f>Assumptions!$B$38*(1+-0.1)*(Assumptions!$B$12+-0.05)</f>
        <v/>
      </c>
      <c r="D28" s="7">
        <f>Assumptions!$B$38*(1+0.0)*(Assumptions!$B$12+-0.05)</f>
        <v/>
      </c>
      <c r="E28" s="7">
        <f>Assumptions!$B$38*(1+0.1)*(Assumptions!$B$12+-0.05)</f>
        <v/>
      </c>
      <c r="F28" s="7">
        <f>Assumptions!$B$38*(1+0.2)*(Assumptions!$B$12+-0.05)</f>
        <v/>
      </c>
    </row>
    <row r="29">
      <c r="A29" s="55" t="n">
        <v>-0.02</v>
      </c>
      <c r="B29" s="7">
        <f>Assumptions!$B$38*(1+-0.2)*(Assumptions!$B$12+-0.02)</f>
        <v/>
      </c>
      <c r="C29" s="7">
        <f>Assumptions!$B$38*(1+-0.1)*(Assumptions!$B$12+-0.02)</f>
        <v/>
      </c>
      <c r="D29" s="7">
        <f>Assumptions!$B$38*(1+0.0)*(Assumptions!$B$12+-0.02)</f>
        <v/>
      </c>
      <c r="E29" s="7">
        <f>Assumptions!$B$38*(1+0.1)*(Assumptions!$B$12+-0.02)</f>
        <v/>
      </c>
      <c r="F29" s="7">
        <f>Assumptions!$B$38*(1+0.2)*(Assumptions!$B$12+-0.02)</f>
        <v/>
      </c>
    </row>
    <row r="30">
      <c r="A30" s="55" t="n">
        <v>0</v>
      </c>
      <c r="B30" s="7">
        <f>Assumptions!$B$38*(1+-0.2)*(Assumptions!$B$12+0.0)</f>
        <v/>
      </c>
      <c r="C30" s="7">
        <f>Assumptions!$B$38*(1+-0.1)*(Assumptions!$B$12+0.0)</f>
        <v/>
      </c>
      <c r="D30" s="7">
        <f>Assumptions!$B$38*(1+0.0)*(Assumptions!$B$12+0.0)</f>
        <v/>
      </c>
      <c r="E30" s="7">
        <f>Assumptions!$B$38*(1+0.1)*(Assumptions!$B$12+0.0)</f>
        <v/>
      </c>
      <c r="F30" s="7">
        <f>Assumptions!$B$38*(1+0.2)*(Assumptions!$B$12+0.0)</f>
        <v/>
      </c>
    </row>
    <row r="31">
      <c r="A31" s="55" t="n">
        <v>0.02</v>
      </c>
      <c r="B31" s="7">
        <f>Assumptions!$B$38*(1+-0.2)*(Assumptions!$B$12+0.02)</f>
        <v/>
      </c>
      <c r="C31" s="7">
        <f>Assumptions!$B$38*(1+-0.1)*(Assumptions!$B$12+0.02)</f>
        <v/>
      </c>
      <c r="D31" s="7">
        <f>Assumptions!$B$38*(1+0.0)*(Assumptions!$B$12+0.02)</f>
        <v/>
      </c>
      <c r="E31" s="7">
        <f>Assumptions!$B$38*(1+0.1)*(Assumptions!$B$12+0.02)</f>
        <v/>
      </c>
      <c r="F31" s="7">
        <f>Assumptions!$B$38*(1+0.2)*(Assumptions!$B$12+0.02)</f>
        <v/>
      </c>
    </row>
    <row r="32">
      <c r="A32" s="55" t="n">
        <v>0.05</v>
      </c>
      <c r="B32" s="7">
        <f>Assumptions!$B$38*(1+-0.2)*(Assumptions!$B$12+0.05)</f>
        <v/>
      </c>
      <c r="C32" s="7">
        <f>Assumptions!$B$38*(1+-0.1)*(Assumptions!$B$12+0.05)</f>
        <v/>
      </c>
      <c r="D32" s="7">
        <f>Assumptions!$B$38*(1+0.0)*(Assumptions!$B$12+0.05)</f>
        <v/>
      </c>
      <c r="E32" s="7">
        <f>Assumptions!$B$38*(1+0.1)*(Assumptions!$B$12+0.05)</f>
        <v/>
      </c>
      <c r="F32" s="7">
        <f>Assumptions!$B$38*(1+0.2)*(Assumptions!$B$12+0.05)</f>
        <v/>
      </c>
    </row>
  </sheetData>
  <mergeCells count="4">
    <mergeCell ref="A15:K15"/>
    <mergeCell ref="A1:K1"/>
    <mergeCell ref="A4:K4"/>
    <mergeCell ref="A26:K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</cols>
  <sheetData>
    <row r="1">
      <c r="A1" s="19" t="inlineStr">
        <is>
          <t>DEEP DIVE BOTANICALS - BREAK-EVEN ANALYSIS</t>
        </is>
      </c>
    </row>
    <row r="3">
      <c r="A3" s="33" t="inlineStr">
        <is>
          <t>FIXED COSTS (Annual)</t>
        </is>
      </c>
      <c r="C3" s="17" t="b">
        <v>1</v>
      </c>
    </row>
    <row r="4">
      <c r="A4" s="33" t="inlineStr">
        <is>
          <t>Personnel (incl. contributions)</t>
        </is>
      </c>
      <c r="B4" s="56">
        <f>(Assumptions!$B$59+Assumptions!$B$60+Assumptions!$B$61)*(1+Assumptions!$B$62)</f>
        <v/>
      </c>
      <c r="C4" s="17" t="inlineStr">
        <is>
          <t>€</t>
        </is>
      </c>
    </row>
    <row r="5">
      <c r="A5" s="2" t="inlineStr">
        <is>
          <t>G&amp;A</t>
        </is>
      </c>
      <c r="B5" s="56">
        <f>Assumptions!$B$67*12</f>
        <v/>
      </c>
      <c r="C5" s="17" t="inlineStr">
        <is>
          <t>€</t>
        </is>
      </c>
    </row>
    <row r="6">
      <c r="A6" s="33" t="inlineStr">
        <is>
          <t>Quality/Lab</t>
        </is>
      </c>
      <c r="B6" s="56">
        <f>Assumptions!$B$68</f>
        <v/>
      </c>
      <c r="C6" s="17" t="inlineStr">
        <is>
          <t>€</t>
        </is>
      </c>
    </row>
    <row r="7">
      <c r="A7" s="33" t="inlineStr">
        <is>
          <t>Design (one-time)</t>
        </is>
      </c>
      <c r="B7" s="56">
        <f>Assumptions!$B$69</f>
        <v/>
      </c>
      <c r="C7" s="17" t="inlineStr">
        <is>
          <t>€</t>
        </is>
      </c>
    </row>
    <row r="8">
      <c r="A8" s="33" t="inlineStr">
        <is>
          <t>Insurance</t>
        </is>
      </c>
      <c r="B8" s="56">
        <f>Assumptions!$B$70</f>
        <v/>
      </c>
      <c r="C8" s="17" t="inlineStr">
        <is>
          <t>€</t>
        </is>
      </c>
    </row>
    <row r="9">
      <c r="A9" s="33" t="inlineStr">
        <is>
          <t>Legal/Accounting</t>
        </is>
      </c>
      <c r="B9" s="56">
        <f>Assumptions!$B$71</f>
        <v/>
      </c>
      <c r="C9" s="17" t="inlineStr">
        <is>
          <t>€</t>
        </is>
      </c>
    </row>
    <row r="10">
      <c r="A10" s="33" t="inlineStr">
        <is>
          <t>Total Fixed Costs</t>
        </is>
      </c>
      <c r="B10" s="56">
        <f>SUM(B5:B10)</f>
        <v/>
      </c>
      <c r="C10" s="17" t="inlineStr">
        <is>
          <t>€</t>
        </is>
      </c>
    </row>
    <row r="11">
      <c r="A11" s="33" t="inlineStr"/>
      <c r="C11" s="17" t="b">
        <v>0</v>
      </c>
    </row>
    <row r="12">
      <c r="A12" s="33" t="inlineStr">
        <is>
          <t>VARIABLE COSTS (per unit)</t>
        </is>
      </c>
      <c r="C12" s="17" t="b">
        <v>1</v>
      </c>
    </row>
    <row r="13">
      <c r="A13" s="33" t="inlineStr">
        <is>
          <t>COGS per can</t>
        </is>
      </c>
      <c r="B13" s="56">
        <f>Assumptions!$B$27</f>
        <v/>
      </c>
      <c r="C13" s="17" t="inlineStr">
        <is>
          <t>€</t>
        </is>
      </c>
    </row>
    <row r="14">
      <c r="A14" s="33" t="inlineStr">
        <is>
          <t>Variable Marketing (% of revenue)</t>
        </is>
      </c>
      <c r="B14" s="44">
        <f>Assumptions!$B$66</f>
        <v/>
      </c>
      <c r="C14" s="17" t="inlineStr">
        <is>
          <t>%</t>
        </is>
      </c>
    </row>
    <row r="15">
      <c r="A15" s="33" t="inlineStr"/>
      <c r="C15" s="17" t="b">
        <v>0</v>
      </c>
    </row>
    <row r="16">
      <c r="A16" s="2" t="inlineStr">
        <is>
          <t>PRICING</t>
        </is>
      </c>
      <c r="C16" s="17" t="b">
        <v>1</v>
      </c>
    </row>
    <row r="17">
      <c r="A17" s="33" t="inlineStr">
        <is>
          <t>Selling Price (ex-factory)</t>
        </is>
      </c>
      <c r="B17" s="56">
        <f>Assumptions!$B$12</f>
        <v/>
      </c>
      <c r="C17" s="17" t="inlineStr">
        <is>
          <t>€</t>
        </is>
      </c>
    </row>
    <row r="18">
      <c r="A18" s="33" t="inlineStr"/>
      <c r="C18" s="17" t="b">
        <v>0</v>
      </c>
    </row>
    <row r="19">
      <c r="A19" s="2" t="inlineStr">
        <is>
          <t>CONTRIBUTION MARGIN</t>
        </is>
      </c>
      <c r="C19" s="17" t="b">
        <v>1</v>
      </c>
    </row>
    <row r="20">
      <c r="A20" s="33" t="inlineStr">
        <is>
          <t>Price per unit</t>
        </is>
      </c>
      <c r="B20" s="56">
        <f>B18</f>
        <v/>
      </c>
      <c r="C20" s="17" t="inlineStr">
        <is>
          <t>€</t>
        </is>
      </c>
    </row>
    <row r="21">
      <c r="A21" s="33" t="inlineStr">
        <is>
          <t>Variable Cost per unit</t>
        </is>
      </c>
      <c r="B21" s="56">
        <f>B14</f>
        <v/>
      </c>
      <c r="C21" s="17" t="inlineStr">
        <is>
          <t>€</t>
        </is>
      </c>
    </row>
    <row r="22">
      <c r="A22" s="33" t="inlineStr">
        <is>
          <t>Contribution Margin per unit</t>
        </is>
      </c>
      <c r="B22" s="56">
        <f>B21-B22</f>
        <v/>
      </c>
      <c r="C22" s="17" t="inlineStr">
        <is>
          <t>€</t>
        </is>
      </c>
    </row>
    <row r="23">
      <c r="A23" s="2" t="inlineStr">
        <is>
          <t>CM %</t>
        </is>
      </c>
      <c r="B23" s="44">
        <f>B23/B21</f>
        <v/>
      </c>
      <c r="C23" s="17" t="inlineStr">
        <is>
          <t>%</t>
        </is>
      </c>
    </row>
    <row r="24">
      <c r="A24" s="33" t="inlineStr"/>
      <c r="C24" s="17" t="b">
        <v>0</v>
      </c>
    </row>
    <row r="25">
      <c r="A25" s="2" t="inlineStr">
        <is>
          <t>BREAK-EVEN CALCULATION</t>
        </is>
      </c>
      <c r="C25" s="17" t="b">
        <v>1</v>
      </c>
    </row>
    <row r="26">
      <c r="A26" s="49" t="inlineStr">
        <is>
          <t>Break-Even Units</t>
        </is>
      </c>
      <c r="B26" s="57">
        <f>B11/B23</f>
        <v/>
      </c>
      <c r="C26" s="17" t="inlineStr">
        <is>
          <t>cans</t>
        </is>
      </c>
    </row>
    <row r="27">
      <c r="A27" s="49" t="inlineStr">
        <is>
          <t>Break-Even Revenue</t>
        </is>
      </c>
      <c r="B27" s="58">
        <f>B27*B18</f>
        <v/>
      </c>
      <c r="C27" s="17" t="inlineStr">
        <is>
          <t>€</t>
        </is>
      </c>
    </row>
    <row r="28">
      <c r="A28" s="33" t="inlineStr"/>
      <c r="C28" s="17" t="b">
        <v>0</v>
      </c>
    </row>
    <row r="29">
      <c r="A29" s="2" t="inlineStr">
        <is>
          <t>VS. YEAR 1 PLAN</t>
        </is>
      </c>
      <c r="C29" s="17" t="b">
        <v>1</v>
      </c>
    </row>
    <row r="30">
      <c r="A30" s="33" t="inlineStr">
        <is>
          <t>Planned Volume Y1</t>
        </is>
      </c>
      <c r="B30" s="46">
        <f>Assumptions!$B$38</f>
        <v/>
      </c>
      <c r="C30" s="17" t="inlineStr">
        <is>
          <t>cans</t>
        </is>
      </c>
    </row>
    <row r="31">
      <c r="A31" s="49" t="inlineStr">
        <is>
          <t>Break-Even as % of Plan</t>
        </is>
      </c>
      <c r="B31" s="44">
        <f>B27/B31</f>
        <v/>
      </c>
      <c r="C31" s="17" t="inlineStr">
        <is>
          <t>%</t>
        </is>
      </c>
    </row>
    <row r="32">
      <c r="A32" s="49" t="inlineStr">
        <is>
          <t>Units Above Break-Even</t>
        </is>
      </c>
      <c r="B32" s="46">
        <f>B31-B27</f>
        <v/>
      </c>
      <c r="C32" s="17" t="inlineStr">
        <is>
          <t>cans</t>
        </is>
      </c>
    </row>
    <row r="33">
      <c r="A33" s="33" t="inlineStr">
        <is>
          <t>Margin of Safety</t>
        </is>
      </c>
      <c r="B33" s="44">
        <f>B33/B31</f>
        <v/>
      </c>
      <c r="C33" s="17" t="inlineStr">
        <is>
          <t>%</t>
        </is>
      </c>
    </row>
    <row r="34">
      <c r="A34" s="33" t="inlineStr"/>
      <c r="C34" s="17" t="b">
        <v>0</v>
      </c>
    </row>
    <row r="35">
      <c r="A35" s="2" t="inlineStr">
        <is>
          <t>BREAK-EVEN TIMING</t>
        </is>
      </c>
      <c r="C35" s="17" t="b">
        <v>1</v>
      </c>
    </row>
    <row r="36">
      <c r="A36" s="33" t="inlineStr">
        <is>
          <t>Monthly Average Sales</t>
        </is>
      </c>
      <c r="B36" s="46">
        <f>B31/12</f>
        <v/>
      </c>
      <c r="C36" s="17" t="inlineStr">
        <is>
          <t>cans/month</t>
        </is>
      </c>
    </row>
    <row r="37">
      <c r="A37" s="49" t="inlineStr">
        <is>
          <t>Months to Break-Even</t>
        </is>
      </c>
      <c r="B37" s="59">
        <f>B27/B37</f>
        <v/>
      </c>
      <c r="C37" s="17" t="inlineStr">
        <is>
          <t>months</t>
        </is>
      </c>
    </row>
    <row r="38">
      <c r="A38" s="49" t="inlineStr">
        <is>
          <t>Expected Break-Even Month</t>
        </is>
      </c>
      <c r="B38" s="60">
        <f>ROUNDUP(B38,0)</f>
        <v/>
      </c>
      <c r="C38" s="17" t="inlineStr">
        <is>
          <t>month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40" customWidth="1" min="4" max="4"/>
  </cols>
  <sheetData>
    <row r="1">
      <c r="A1" s="19" t="inlineStr">
        <is>
          <t>DEEP DIVE BOTANICALS - USE OF FUNDS (€500K PRE-SEED)</t>
        </is>
      </c>
    </row>
    <row r="3">
      <c r="A3" s="61" t="inlineStr">
        <is>
          <t>Category</t>
        </is>
      </c>
      <c r="B3" s="61" t="inlineStr">
        <is>
          <t>Amount (€)</t>
        </is>
      </c>
      <c r="C3" s="61" t="inlineStr">
        <is>
          <t>% of Total</t>
        </is>
      </c>
      <c r="D3" s="61" t="inlineStr">
        <is>
          <t>Description</t>
        </is>
      </c>
    </row>
    <row r="4">
      <c r="A4" s="62" t="inlineStr">
        <is>
          <t>Production &amp; Inventory</t>
        </is>
      </c>
      <c r="B4" s="7" t="n">
        <v>200000</v>
      </c>
      <c r="C4" s="9" t="n">
        <v>0.4</v>
      </c>
      <c r="D4" s="63" t="inlineStr">
        <is>
          <t>Can inventory (MOQ), ingredients, co-packing for first 150k units</t>
        </is>
      </c>
    </row>
    <row r="5">
      <c r="A5" s="62" t="inlineStr">
        <is>
          <t>Marketing &amp; Sales</t>
        </is>
      </c>
      <c r="B5" s="7" t="n">
        <v>75000</v>
      </c>
      <c r="C5" s="9" t="n">
        <v>0.15</v>
      </c>
      <c r="D5" s="63" t="inlineStr">
        <is>
          <t>Launch campaign, trade shows, sampling, promotional materials, POS</t>
        </is>
      </c>
    </row>
    <row r="6">
      <c r="A6" s="62" t="inlineStr">
        <is>
          <t>Personnel (18 months)</t>
        </is>
      </c>
      <c r="B6" s="7" t="n">
        <v>135000</v>
      </c>
      <c r="C6" s="9" t="n">
        <v>0.27</v>
      </c>
      <c r="D6" s="63" t="inlineStr">
        <is>
          <t>Founder salary (post-funding), ops &amp; sales assistants</t>
        </is>
      </c>
    </row>
    <row r="7">
      <c r="A7" s="62" t="inlineStr">
        <is>
          <t>Working Capital</t>
        </is>
      </c>
      <c r="B7" s="7" t="n">
        <v>50000</v>
      </c>
      <c r="C7" s="9" t="n">
        <v>0.1</v>
      </c>
      <c r="D7" s="63" t="inlineStr">
        <is>
          <t>AR/AP financing, payment terms bridge</t>
        </is>
      </c>
    </row>
    <row r="8">
      <c r="A8" s="62" t="inlineStr">
        <is>
          <t>Quality &amp; Regulatory</t>
        </is>
      </c>
      <c r="B8" s="7" t="n">
        <v>15000</v>
      </c>
      <c r="C8" s="9" t="n">
        <v>0.03</v>
      </c>
      <c r="D8" s="63" t="inlineStr">
        <is>
          <t>Lab testing, certifications, compliance</t>
        </is>
      </c>
    </row>
    <row r="9">
      <c r="A9" s="62" t="inlineStr">
        <is>
          <t>Design &amp; Branding</t>
        </is>
      </c>
      <c r="B9" s="7" t="n">
        <v>10000</v>
      </c>
      <c r="C9" s="9" t="n">
        <v>0.02</v>
      </c>
      <c r="D9" s="63" t="inlineStr">
        <is>
          <t>Label design, website, brand materials</t>
        </is>
      </c>
    </row>
    <row r="10">
      <c r="A10" s="62" t="inlineStr">
        <is>
          <t>Legal &amp; Admin</t>
        </is>
      </c>
      <c r="B10" s="7" t="n">
        <v>10000</v>
      </c>
      <c r="C10" s="9" t="n">
        <v>0.02</v>
      </c>
      <c r="D10" s="63" t="inlineStr">
        <is>
          <t>Company setup, contracts, IP protection, accounting</t>
        </is>
      </c>
    </row>
    <row r="11">
      <c r="A11" s="62" t="inlineStr">
        <is>
          <t>Reserve/Contingency</t>
        </is>
      </c>
      <c r="B11" s="7" t="n">
        <v>5000</v>
      </c>
      <c r="C11" s="9" t="n">
        <v>0.01</v>
      </c>
      <c r="D11" s="63" t="inlineStr">
        <is>
          <t>1% buffer for unexpected costs</t>
        </is>
      </c>
    </row>
    <row r="12">
      <c r="A12" s="64" t="inlineStr">
        <is>
          <t>TOTAL FUNDING</t>
        </is>
      </c>
      <c r="B12" s="37">
        <f>SUM(B4:B11)</f>
        <v/>
      </c>
      <c r="C12" s="10">
        <f>SUM(C4:C11)</f>
        <v/>
      </c>
    </row>
    <row r="15">
      <c r="A15" s="2" t="inlineStr">
        <is>
          <t>MILESTONE-BASED FUNDING TRANCHES</t>
        </is>
      </c>
    </row>
    <row r="16">
      <c r="A16" s="61" t="inlineStr">
        <is>
          <t>Tranche</t>
        </is>
      </c>
      <c r="B16" s="61" t="inlineStr">
        <is>
          <t>Amount (€)</t>
        </is>
      </c>
      <c r="C16" s="61" t="inlineStr">
        <is>
          <t>Milestone</t>
        </is>
      </c>
      <c r="D16" s="61" t="inlineStr">
        <is>
          <t>Timeline</t>
        </is>
      </c>
    </row>
    <row r="17">
      <c r="A17" s="62" t="inlineStr">
        <is>
          <t>Tranche 1</t>
        </is>
      </c>
      <c r="B17" s="7" t="n">
        <v>250000</v>
      </c>
      <c r="C17" s="63" t="inlineStr">
        <is>
          <t>Initial funding at closing</t>
        </is>
      </c>
      <c r="D17" s="63" t="inlineStr">
        <is>
          <t>Month 0</t>
        </is>
      </c>
    </row>
    <row r="18">
      <c r="A18" s="62" t="inlineStr">
        <is>
          <t>Tranche 2</t>
        </is>
      </c>
      <c r="B18" s="7" t="n">
        <v>150000</v>
      </c>
      <c r="C18" s="63" t="inlineStr">
        <is>
          <t>After pilot batch sold (20k units)</t>
        </is>
      </c>
      <c r="D18" s="63" t="inlineStr">
        <is>
          <t>Month 3-4</t>
        </is>
      </c>
    </row>
    <row r="19">
      <c r="A19" s="62" t="inlineStr">
        <is>
          <t>Tranche 3</t>
        </is>
      </c>
      <c r="B19" s="7" t="n">
        <v>100000</v>
      </c>
      <c r="C19" s="63" t="inlineStr">
        <is>
          <t>After 50k total units sold + 3 retail partners</t>
        </is>
      </c>
      <c r="D19" s="63" t="inlineStr">
        <is>
          <t>Month 6-8</t>
        </is>
      </c>
    </row>
  </sheetData>
  <mergeCells count="2"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2025-11-01T15:50:50Z</dcterms:created>
  <dcterms:modified xmlns:dcterms="http://purl.org/dc/terms/" xmlns:xsi="http://www.w3.org/2001/XMLSchema-instance" xsi:type="dcterms:W3CDTF">2025-11-01T15:50:50Z</dcterms:modified>
</cp:coreProperties>
</file>